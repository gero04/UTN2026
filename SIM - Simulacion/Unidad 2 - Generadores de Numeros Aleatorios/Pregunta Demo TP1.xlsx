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B8" i="1"/>
  <c r="K2" i="1"/>
  <c r="E13" i="1"/>
  <c r="B14" i="1"/>
  <c r="C14" i="1" s="1"/>
  <c r="D13" i="1"/>
  <c r="C13" i="1"/>
  <c r="B13" i="1"/>
  <c r="D14" i="1" l="1"/>
  <c r="B15" i="1"/>
  <c r="C15" i="1" s="1"/>
  <c r="E14" i="1" l="1"/>
  <c r="D15" i="1"/>
  <c r="E15" i="1" s="1"/>
  <c r="B16" i="1"/>
  <c r="C16" i="1" s="1"/>
  <c r="M2" i="1" l="1"/>
  <c r="D16" i="1"/>
  <c r="B17" i="1"/>
  <c r="C17" i="1" s="1"/>
  <c r="E16" i="1" l="1"/>
  <c r="B18" i="1"/>
  <c r="C18" i="1" s="1"/>
  <c r="D17" i="1"/>
  <c r="E17" i="1" s="1"/>
  <c r="B19" i="1" l="1"/>
  <c r="C19" i="1" s="1"/>
  <c r="D18" i="1"/>
  <c r="E18" i="1" l="1"/>
  <c r="D19" i="1"/>
  <c r="B20" i="1"/>
  <c r="C20" i="1" s="1"/>
  <c r="D20" i="1" l="1"/>
  <c r="B21" i="1"/>
  <c r="C21" i="1" s="1"/>
  <c r="E19" i="1"/>
  <c r="D21" i="1" l="1"/>
  <c r="B22" i="1"/>
  <c r="C22" i="1" s="1"/>
  <c r="E20" i="1"/>
  <c r="D22" i="1" l="1"/>
  <c r="B23" i="1"/>
  <c r="C23" i="1" s="1"/>
  <c r="E21" i="1"/>
  <c r="D23" i="1" l="1"/>
  <c r="E23" i="1" s="1"/>
  <c r="B24" i="1"/>
  <c r="C24" i="1" s="1"/>
  <c r="E22" i="1"/>
  <c r="B25" i="1" l="1"/>
  <c r="C25" i="1" s="1"/>
  <c r="D24" i="1"/>
  <c r="E24" i="1" s="1"/>
  <c r="B26" i="1" l="1"/>
  <c r="C26" i="1" s="1"/>
  <c r="D25" i="1"/>
  <c r="E25" i="1" s="1"/>
  <c r="D26" i="1" l="1"/>
  <c r="E26" i="1" s="1"/>
  <c r="B27" i="1"/>
  <c r="C27" i="1" s="1"/>
  <c r="B28" i="1" l="1"/>
  <c r="C28" i="1" s="1"/>
  <c r="D27" i="1"/>
  <c r="E27" i="1" s="1"/>
  <c r="B29" i="1" l="1"/>
  <c r="C29" i="1" s="1"/>
  <c r="D28" i="1"/>
  <c r="E28" i="1" s="1"/>
  <c r="B30" i="1" l="1"/>
  <c r="C30" i="1" s="1"/>
  <c r="D29" i="1"/>
  <c r="E29" i="1" s="1"/>
  <c r="B31" i="1" l="1"/>
  <c r="C31" i="1" s="1"/>
  <c r="D30" i="1"/>
  <c r="E30" i="1" s="1"/>
  <c r="D31" i="1" l="1"/>
  <c r="E31" i="1" s="1"/>
  <c r="B32" i="1"/>
  <c r="C32" i="1" s="1"/>
  <c r="D32" i="1" l="1"/>
  <c r="E32" i="1" s="1"/>
  <c r="B33" i="1"/>
  <c r="C33" i="1" s="1"/>
  <c r="D33" i="1" l="1"/>
  <c r="E33" i="1" s="1"/>
  <c r="B34" i="1"/>
  <c r="C34" i="1" s="1"/>
  <c r="D34" i="1" l="1"/>
  <c r="E34" i="1" s="1"/>
  <c r="B35" i="1"/>
  <c r="C35" i="1" s="1"/>
  <c r="D35" i="1" l="1"/>
  <c r="E35" i="1" s="1"/>
  <c r="B36" i="1"/>
  <c r="C36" i="1" s="1"/>
  <c r="B37" i="1" l="1"/>
  <c r="C37" i="1" s="1"/>
  <c r="D36" i="1"/>
  <c r="E36" i="1" s="1"/>
  <c r="D37" i="1" l="1"/>
  <c r="E37" i="1" s="1"/>
  <c r="B38" i="1"/>
  <c r="C38" i="1" s="1"/>
  <c r="D38" i="1" l="1"/>
  <c r="E38" i="1" s="1"/>
  <c r="B39" i="1"/>
  <c r="C39" i="1" s="1"/>
  <c r="D39" i="1" l="1"/>
  <c r="E39" i="1" s="1"/>
  <c r="B40" i="1"/>
  <c r="C40" i="1" s="1"/>
  <c r="B41" i="1" l="1"/>
  <c r="C41" i="1" s="1"/>
  <c r="D40" i="1"/>
  <c r="E40" i="1" s="1"/>
  <c r="D41" i="1" l="1"/>
  <c r="E41" i="1" s="1"/>
  <c r="B42" i="1"/>
  <c r="C42" i="1" s="1"/>
  <c r="B43" i="1" l="1"/>
  <c r="C43" i="1" s="1"/>
  <c r="D42" i="1"/>
  <c r="E42" i="1" s="1"/>
  <c r="D43" i="1" l="1"/>
  <c r="E43" i="1" s="1"/>
  <c r="B44" i="1"/>
  <c r="C44" i="1" s="1"/>
  <c r="B45" i="1" l="1"/>
  <c r="C45" i="1" s="1"/>
  <c r="D44" i="1"/>
  <c r="E44" i="1" s="1"/>
  <c r="D45" i="1" l="1"/>
  <c r="E45" i="1" s="1"/>
  <c r="B46" i="1"/>
  <c r="C46" i="1" s="1"/>
  <c r="D46" i="1" l="1"/>
  <c r="E46" i="1" s="1"/>
  <c r="B47" i="1"/>
  <c r="C47" i="1" s="1"/>
  <c r="D47" i="1" l="1"/>
  <c r="E47" i="1" s="1"/>
  <c r="B48" i="1"/>
  <c r="C48" i="1" s="1"/>
  <c r="B49" i="1" l="1"/>
  <c r="C49" i="1" s="1"/>
  <c r="D48" i="1"/>
  <c r="E48" i="1" s="1"/>
  <c r="D49" i="1" l="1"/>
  <c r="E49" i="1" s="1"/>
  <c r="B50" i="1"/>
  <c r="C50" i="1" s="1"/>
  <c r="D50" i="1" l="1"/>
  <c r="E50" i="1" s="1"/>
  <c r="B51" i="1"/>
  <c r="C51" i="1" s="1"/>
  <c r="B52" i="1" l="1"/>
  <c r="C52" i="1" s="1"/>
  <c r="D51" i="1"/>
  <c r="E51" i="1" s="1"/>
  <c r="B53" i="1" l="1"/>
  <c r="C53" i="1" s="1"/>
  <c r="D52" i="1"/>
  <c r="E52" i="1" s="1"/>
  <c r="D53" i="1" l="1"/>
  <c r="E53" i="1" s="1"/>
  <c r="B54" i="1"/>
  <c r="C54" i="1" s="1"/>
  <c r="D54" i="1" l="1"/>
  <c r="E54" i="1" s="1"/>
  <c r="B55" i="1"/>
  <c r="C55" i="1" s="1"/>
  <c r="B56" i="1" l="1"/>
  <c r="C56" i="1" s="1"/>
  <c r="D55" i="1"/>
  <c r="E55" i="1" s="1"/>
  <c r="B57" i="1" l="1"/>
  <c r="C57" i="1" s="1"/>
  <c r="D56" i="1"/>
  <c r="E56" i="1" s="1"/>
  <c r="B58" i="1" l="1"/>
  <c r="C58" i="1" s="1"/>
  <c r="D57" i="1"/>
  <c r="E57" i="1" s="1"/>
  <c r="D58" i="1" l="1"/>
  <c r="E58" i="1" s="1"/>
  <c r="B59" i="1"/>
  <c r="C59" i="1" s="1"/>
  <c r="B60" i="1" l="1"/>
  <c r="C60" i="1" s="1"/>
  <c r="D59" i="1"/>
  <c r="E59" i="1" s="1"/>
  <c r="D60" i="1" l="1"/>
  <c r="E60" i="1" s="1"/>
  <c r="B61" i="1"/>
  <c r="C61" i="1" s="1"/>
  <c r="D61" i="1" l="1"/>
  <c r="E61" i="1" s="1"/>
  <c r="B62" i="1"/>
  <c r="C62" i="1" s="1"/>
  <c r="D62" i="1" l="1"/>
  <c r="E62" i="1" s="1"/>
  <c r="B63" i="1"/>
  <c r="C63" i="1" s="1"/>
  <c r="D63" i="1" l="1"/>
  <c r="E63" i="1" s="1"/>
  <c r="B64" i="1"/>
  <c r="C64" i="1" s="1"/>
  <c r="B65" i="1" l="1"/>
  <c r="C65" i="1" s="1"/>
  <c r="D64" i="1"/>
  <c r="E64" i="1" s="1"/>
  <c r="B66" i="1" l="1"/>
  <c r="C66" i="1" s="1"/>
  <c r="D65" i="1"/>
  <c r="E65" i="1" s="1"/>
  <c r="D66" i="1" l="1"/>
  <c r="E66" i="1" s="1"/>
  <c r="B67" i="1"/>
  <c r="C67" i="1" s="1"/>
  <c r="D67" i="1" l="1"/>
  <c r="E67" i="1" s="1"/>
  <c r="B68" i="1"/>
  <c r="C68" i="1" s="1"/>
  <c r="B69" i="1" l="1"/>
  <c r="C69" i="1" s="1"/>
  <c r="D68" i="1"/>
  <c r="E68" i="1" s="1"/>
  <c r="B70" i="1" l="1"/>
  <c r="C70" i="1" s="1"/>
  <c r="D69" i="1"/>
  <c r="E69" i="1" s="1"/>
  <c r="D70" i="1" l="1"/>
  <c r="E70" i="1" s="1"/>
  <c r="B71" i="1"/>
  <c r="C71" i="1" s="1"/>
  <c r="D71" i="1" l="1"/>
  <c r="E71" i="1" s="1"/>
  <c r="B72" i="1"/>
  <c r="C72" i="1" s="1"/>
  <c r="B73" i="1" l="1"/>
  <c r="C73" i="1" s="1"/>
  <c r="D72" i="1"/>
  <c r="E72" i="1" s="1"/>
  <c r="D73" i="1" l="1"/>
  <c r="E73" i="1" s="1"/>
  <c r="B74" i="1"/>
  <c r="C74" i="1" s="1"/>
  <c r="D74" i="1" l="1"/>
  <c r="E74" i="1" s="1"/>
  <c r="B75" i="1"/>
  <c r="C75" i="1" s="1"/>
  <c r="D75" i="1" l="1"/>
  <c r="E75" i="1" s="1"/>
  <c r="B76" i="1"/>
  <c r="C76" i="1" s="1"/>
  <c r="D76" i="1" l="1"/>
  <c r="E76" i="1" s="1"/>
  <c r="B77" i="1"/>
  <c r="C77" i="1" s="1"/>
  <c r="D77" i="1" l="1"/>
  <c r="E77" i="1" s="1"/>
  <c r="B78" i="1"/>
  <c r="C78" i="1" s="1"/>
  <c r="B79" i="1" l="1"/>
  <c r="C79" i="1" s="1"/>
  <c r="D78" i="1"/>
  <c r="E78" i="1" s="1"/>
  <c r="D79" i="1" l="1"/>
  <c r="E79" i="1" s="1"/>
  <c r="B80" i="1"/>
  <c r="C80" i="1" s="1"/>
  <c r="B81" i="1" l="1"/>
  <c r="C81" i="1" s="1"/>
  <c r="D80" i="1"/>
  <c r="E80" i="1" s="1"/>
  <c r="D81" i="1" l="1"/>
  <c r="E81" i="1" s="1"/>
  <c r="B82" i="1"/>
  <c r="C82" i="1" s="1"/>
  <c r="D82" i="1" l="1"/>
  <c r="E82" i="1" s="1"/>
  <c r="B83" i="1"/>
  <c r="C83" i="1" s="1"/>
  <c r="D83" i="1" l="1"/>
  <c r="E83" i="1" s="1"/>
  <c r="B84" i="1"/>
  <c r="C84" i="1" s="1"/>
  <c r="B85" i="1" l="1"/>
  <c r="C85" i="1" s="1"/>
  <c r="D84" i="1"/>
  <c r="E84" i="1" s="1"/>
  <c r="D85" i="1" l="1"/>
  <c r="E85" i="1" s="1"/>
  <c r="B86" i="1"/>
  <c r="C86" i="1" s="1"/>
  <c r="D86" i="1" l="1"/>
  <c r="E86" i="1" s="1"/>
  <c r="B87" i="1"/>
  <c r="C87" i="1" s="1"/>
  <c r="D87" i="1" l="1"/>
  <c r="E87" i="1" s="1"/>
  <c r="B88" i="1"/>
  <c r="C88" i="1" s="1"/>
  <c r="B89" i="1" l="1"/>
  <c r="C89" i="1" s="1"/>
  <c r="D88" i="1"/>
  <c r="E88" i="1" s="1"/>
  <c r="D89" i="1" l="1"/>
  <c r="E89" i="1" s="1"/>
  <c r="B90" i="1"/>
  <c r="C90" i="1" s="1"/>
  <c r="D90" i="1" l="1"/>
  <c r="E90" i="1" s="1"/>
  <c r="B91" i="1"/>
  <c r="C91" i="1" s="1"/>
  <c r="D91" i="1" l="1"/>
  <c r="E91" i="1" s="1"/>
  <c r="B92" i="1"/>
  <c r="C92" i="1" s="1"/>
  <c r="B93" i="1" l="1"/>
  <c r="C93" i="1" s="1"/>
  <c r="D92" i="1"/>
  <c r="E92" i="1" s="1"/>
  <c r="D93" i="1" l="1"/>
  <c r="E93" i="1" s="1"/>
  <c r="B94" i="1"/>
  <c r="C94" i="1" s="1"/>
  <c r="D94" i="1" l="1"/>
  <c r="E94" i="1" s="1"/>
  <c r="B95" i="1"/>
  <c r="C95" i="1" s="1"/>
  <c r="D95" i="1" l="1"/>
  <c r="E95" i="1" s="1"/>
  <c r="B96" i="1"/>
  <c r="C96" i="1" s="1"/>
  <c r="D96" i="1" l="1"/>
  <c r="E96" i="1" s="1"/>
  <c r="B97" i="1"/>
  <c r="C97" i="1" s="1"/>
  <c r="D97" i="1" l="1"/>
  <c r="E97" i="1" s="1"/>
  <c r="B98" i="1"/>
  <c r="C98" i="1" s="1"/>
  <c r="D98" i="1" l="1"/>
  <c r="E98" i="1" s="1"/>
  <c r="B99" i="1"/>
  <c r="C99" i="1" s="1"/>
  <c r="D99" i="1" l="1"/>
  <c r="E99" i="1" s="1"/>
  <c r="B100" i="1"/>
  <c r="C100" i="1" s="1"/>
  <c r="B101" i="1" l="1"/>
  <c r="C101" i="1" s="1"/>
  <c r="D100" i="1"/>
  <c r="E100" i="1" s="1"/>
  <c r="D101" i="1" l="1"/>
  <c r="E101" i="1" s="1"/>
  <c r="B102" i="1"/>
  <c r="C102" i="1" s="1"/>
  <c r="B103" i="1" l="1"/>
  <c r="C103" i="1" s="1"/>
  <c r="D102" i="1"/>
  <c r="E102" i="1" s="1"/>
  <c r="B104" i="1" l="1"/>
  <c r="C104" i="1" s="1"/>
  <c r="D103" i="1"/>
  <c r="E103" i="1" s="1"/>
  <c r="B105" i="1" l="1"/>
  <c r="C105" i="1" s="1"/>
  <c r="D104" i="1"/>
  <c r="E104" i="1" s="1"/>
  <c r="D105" i="1" l="1"/>
  <c r="E105" i="1" s="1"/>
  <c r="B106" i="1"/>
  <c r="C106" i="1" s="1"/>
  <c r="B107" i="1" l="1"/>
  <c r="C107" i="1" s="1"/>
  <c r="D106" i="1"/>
  <c r="E106" i="1" s="1"/>
  <c r="D107" i="1" l="1"/>
  <c r="E107" i="1" s="1"/>
  <c r="B108" i="1"/>
  <c r="C108" i="1" s="1"/>
  <c r="B109" i="1" l="1"/>
  <c r="C109" i="1" s="1"/>
  <c r="D108" i="1"/>
  <c r="E108" i="1" s="1"/>
  <c r="B110" i="1" l="1"/>
  <c r="C110" i="1" s="1"/>
  <c r="D109" i="1"/>
  <c r="E109" i="1" s="1"/>
  <c r="D110" i="1" l="1"/>
  <c r="E110" i="1" s="1"/>
  <c r="B111" i="1"/>
  <c r="C111" i="1" s="1"/>
  <c r="B112" i="1" l="1"/>
  <c r="C112" i="1" s="1"/>
  <c r="D111" i="1"/>
  <c r="E111" i="1" s="1"/>
  <c r="B113" i="1" l="1"/>
  <c r="C113" i="1" s="1"/>
  <c r="D112" i="1"/>
  <c r="E112" i="1" s="1"/>
  <c r="B114" i="1" l="1"/>
  <c r="C114" i="1" s="1"/>
  <c r="D113" i="1"/>
  <c r="E113" i="1" s="1"/>
  <c r="B115" i="1" l="1"/>
  <c r="C115" i="1" s="1"/>
  <c r="D114" i="1"/>
  <c r="E114" i="1" s="1"/>
  <c r="B116" i="1" l="1"/>
  <c r="C116" i="1" s="1"/>
  <c r="D115" i="1"/>
  <c r="E115" i="1" s="1"/>
  <c r="B117" i="1" l="1"/>
  <c r="C117" i="1" s="1"/>
  <c r="D116" i="1"/>
  <c r="E116" i="1" s="1"/>
  <c r="D117" i="1" l="1"/>
  <c r="E117" i="1" s="1"/>
  <c r="B118" i="1"/>
  <c r="C118" i="1" s="1"/>
  <c r="B119" i="1" l="1"/>
  <c r="C119" i="1" s="1"/>
  <c r="D118" i="1"/>
  <c r="E118" i="1" s="1"/>
  <c r="D119" i="1" l="1"/>
  <c r="E119" i="1" s="1"/>
  <c r="B120" i="1"/>
  <c r="C120" i="1" s="1"/>
  <c r="B121" i="1" l="1"/>
  <c r="C121" i="1" s="1"/>
  <c r="D120" i="1"/>
  <c r="E120" i="1" s="1"/>
  <c r="D121" i="1" l="1"/>
  <c r="E121" i="1" s="1"/>
  <c r="B122" i="1"/>
  <c r="C122" i="1" s="1"/>
  <c r="B123" i="1" l="1"/>
  <c r="C123" i="1" s="1"/>
  <c r="D122" i="1"/>
  <c r="E122" i="1" s="1"/>
  <c r="D123" i="1" l="1"/>
  <c r="E123" i="1" s="1"/>
  <c r="B124" i="1"/>
  <c r="C124" i="1" s="1"/>
  <c r="D124" i="1" l="1"/>
  <c r="E124" i="1" s="1"/>
  <c r="B125" i="1"/>
  <c r="C125" i="1" s="1"/>
  <c r="D125" i="1" l="1"/>
  <c r="E125" i="1" s="1"/>
  <c r="B126" i="1"/>
  <c r="C126" i="1" s="1"/>
  <c r="D126" i="1" l="1"/>
  <c r="E126" i="1" s="1"/>
  <c r="B127" i="1"/>
  <c r="C127" i="1" s="1"/>
  <c r="B128" i="1" l="1"/>
  <c r="C128" i="1" s="1"/>
  <c r="D127" i="1"/>
  <c r="E127" i="1" s="1"/>
  <c r="B129" i="1" l="1"/>
  <c r="C129" i="1" s="1"/>
  <c r="D128" i="1"/>
  <c r="E128" i="1" s="1"/>
  <c r="D129" i="1" l="1"/>
  <c r="E129" i="1" s="1"/>
  <c r="B130" i="1"/>
  <c r="C130" i="1" s="1"/>
  <c r="B131" i="1" l="1"/>
  <c r="C131" i="1" s="1"/>
  <c r="D130" i="1"/>
  <c r="E130" i="1" s="1"/>
  <c r="D131" i="1" l="1"/>
  <c r="E131" i="1" s="1"/>
  <c r="B132" i="1"/>
  <c r="C132" i="1" s="1"/>
  <c r="D132" i="1" l="1"/>
  <c r="E132" i="1" s="1"/>
  <c r="B133" i="1"/>
  <c r="C133" i="1" s="1"/>
  <c r="D133" i="1" l="1"/>
  <c r="E133" i="1" s="1"/>
  <c r="B134" i="1"/>
  <c r="C134" i="1" s="1"/>
  <c r="D134" i="1" l="1"/>
  <c r="E134" i="1" s="1"/>
  <c r="B135" i="1"/>
  <c r="C135" i="1" s="1"/>
  <c r="D135" i="1" l="1"/>
  <c r="E135" i="1" s="1"/>
  <c r="B136" i="1"/>
  <c r="C136" i="1" s="1"/>
  <c r="B137" i="1" l="1"/>
  <c r="C137" i="1" s="1"/>
  <c r="D136" i="1"/>
  <c r="E136" i="1" s="1"/>
  <c r="B138" i="1" l="1"/>
  <c r="C138" i="1" s="1"/>
  <c r="D137" i="1"/>
  <c r="E137" i="1" s="1"/>
  <c r="B139" i="1" l="1"/>
  <c r="C139" i="1" s="1"/>
  <c r="D138" i="1"/>
  <c r="E138" i="1" s="1"/>
  <c r="D139" i="1" l="1"/>
  <c r="E139" i="1" s="1"/>
  <c r="B140" i="1"/>
  <c r="C140" i="1" s="1"/>
  <c r="D140" i="1" l="1"/>
  <c r="E140" i="1" s="1"/>
  <c r="B141" i="1"/>
  <c r="C141" i="1" s="1"/>
  <c r="D141" i="1" l="1"/>
  <c r="E141" i="1" s="1"/>
  <c r="B142" i="1"/>
  <c r="C142" i="1" s="1"/>
  <c r="B143" i="1" l="1"/>
  <c r="C143" i="1" s="1"/>
  <c r="D142" i="1"/>
  <c r="E142" i="1" s="1"/>
  <c r="B144" i="1" l="1"/>
  <c r="C144" i="1" s="1"/>
  <c r="D143" i="1"/>
  <c r="E143" i="1" s="1"/>
  <c r="D144" i="1" l="1"/>
  <c r="E144" i="1" s="1"/>
  <c r="B145" i="1"/>
  <c r="C145" i="1" s="1"/>
  <c r="D145" i="1" l="1"/>
  <c r="E145" i="1" s="1"/>
  <c r="B146" i="1"/>
  <c r="C146" i="1" s="1"/>
  <c r="D146" i="1" l="1"/>
  <c r="E146" i="1" s="1"/>
  <c r="B147" i="1"/>
  <c r="C147" i="1" s="1"/>
  <c r="B148" i="1" l="1"/>
  <c r="C148" i="1" s="1"/>
  <c r="D147" i="1"/>
  <c r="E147" i="1" s="1"/>
  <c r="B149" i="1" l="1"/>
  <c r="C149" i="1" s="1"/>
  <c r="D148" i="1"/>
  <c r="E148" i="1" s="1"/>
  <c r="B150" i="1" l="1"/>
  <c r="C150" i="1" s="1"/>
  <c r="D149" i="1"/>
  <c r="E149" i="1" s="1"/>
  <c r="D150" i="1" l="1"/>
  <c r="E150" i="1" s="1"/>
  <c r="B151" i="1"/>
  <c r="C151" i="1" s="1"/>
  <c r="B152" i="1" l="1"/>
  <c r="C152" i="1" s="1"/>
  <c r="D151" i="1"/>
  <c r="E151" i="1" s="1"/>
  <c r="B153" i="1" l="1"/>
  <c r="C153" i="1" s="1"/>
  <c r="D152" i="1"/>
  <c r="E152" i="1" s="1"/>
  <c r="D153" i="1" l="1"/>
  <c r="E153" i="1" s="1"/>
  <c r="B154" i="1"/>
  <c r="C154" i="1" s="1"/>
  <c r="B155" i="1" l="1"/>
  <c r="C155" i="1" s="1"/>
  <c r="D154" i="1"/>
  <c r="E154" i="1" s="1"/>
  <c r="D155" i="1" l="1"/>
  <c r="E155" i="1" s="1"/>
  <c r="B156" i="1"/>
  <c r="C156" i="1" s="1"/>
  <c r="B157" i="1" l="1"/>
  <c r="C157" i="1" s="1"/>
  <c r="D156" i="1"/>
  <c r="E156" i="1" s="1"/>
  <c r="D157" i="1" l="1"/>
  <c r="E157" i="1" s="1"/>
  <c r="B158" i="1"/>
  <c r="C158" i="1" s="1"/>
  <c r="D158" i="1" l="1"/>
  <c r="E158" i="1" s="1"/>
  <c r="B159" i="1"/>
  <c r="C159" i="1" s="1"/>
  <c r="D159" i="1" l="1"/>
  <c r="E159" i="1" s="1"/>
  <c r="B160" i="1"/>
  <c r="C160" i="1" s="1"/>
  <c r="D160" i="1" l="1"/>
  <c r="E160" i="1" s="1"/>
  <c r="B161" i="1"/>
  <c r="C161" i="1" s="1"/>
  <c r="D161" i="1" l="1"/>
  <c r="E161" i="1" s="1"/>
  <c r="B162" i="1"/>
  <c r="C162" i="1" s="1"/>
  <c r="D162" i="1" l="1"/>
  <c r="E162" i="1" s="1"/>
  <c r="B163" i="1"/>
  <c r="C163" i="1" s="1"/>
  <c r="D163" i="1" l="1"/>
  <c r="E163" i="1" s="1"/>
  <c r="B164" i="1"/>
  <c r="C164" i="1" s="1"/>
  <c r="B165" i="1" l="1"/>
  <c r="C165" i="1" s="1"/>
  <c r="D164" i="1"/>
  <c r="E164" i="1" s="1"/>
  <c r="B166" i="1" l="1"/>
  <c r="C166" i="1" s="1"/>
  <c r="D165" i="1"/>
  <c r="E165" i="1" s="1"/>
  <c r="B167" i="1" l="1"/>
  <c r="C167" i="1" s="1"/>
  <c r="D166" i="1"/>
  <c r="E166" i="1" s="1"/>
  <c r="B168" i="1" l="1"/>
  <c r="C168" i="1" s="1"/>
  <c r="D167" i="1"/>
  <c r="E167" i="1" s="1"/>
  <c r="B169" i="1" l="1"/>
  <c r="C169" i="1" s="1"/>
  <c r="D168" i="1"/>
  <c r="E168" i="1" s="1"/>
  <c r="D169" i="1" l="1"/>
  <c r="E169" i="1" s="1"/>
  <c r="B170" i="1"/>
  <c r="C170" i="1" s="1"/>
  <c r="B171" i="1" l="1"/>
  <c r="C171" i="1" s="1"/>
  <c r="D170" i="1"/>
  <c r="E170" i="1" s="1"/>
  <c r="D171" i="1" l="1"/>
  <c r="E171" i="1" s="1"/>
  <c r="B172" i="1"/>
  <c r="C172" i="1" s="1"/>
  <c r="D172" i="1" l="1"/>
  <c r="E172" i="1" s="1"/>
  <c r="B173" i="1"/>
  <c r="C173" i="1" s="1"/>
  <c r="D173" i="1" l="1"/>
  <c r="E173" i="1" s="1"/>
  <c r="B174" i="1"/>
  <c r="C174" i="1" s="1"/>
  <c r="B175" i="1" l="1"/>
  <c r="C175" i="1" s="1"/>
  <c r="D174" i="1"/>
  <c r="E174" i="1" s="1"/>
  <c r="D175" i="1" l="1"/>
  <c r="E175" i="1" s="1"/>
  <c r="B176" i="1"/>
  <c r="C176" i="1" s="1"/>
  <c r="B177" i="1" l="1"/>
  <c r="C177" i="1" s="1"/>
  <c r="D176" i="1"/>
  <c r="E176" i="1" s="1"/>
  <c r="B178" i="1" l="1"/>
  <c r="C178" i="1" s="1"/>
  <c r="D177" i="1"/>
  <c r="E177" i="1" s="1"/>
  <c r="D178" i="1" l="1"/>
  <c r="E178" i="1" s="1"/>
  <c r="B179" i="1"/>
  <c r="C179" i="1" s="1"/>
  <c r="B180" i="1" l="1"/>
  <c r="C180" i="1" s="1"/>
  <c r="D179" i="1"/>
  <c r="E179" i="1" s="1"/>
  <c r="B181" i="1" l="1"/>
  <c r="C181" i="1" s="1"/>
  <c r="D180" i="1"/>
  <c r="E180" i="1" s="1"/>
  <c r="D181" i="1" l="1"/>
  <c r="E181" i="1" s="1"/>
  <c r="B182" i="1"/>
  <c r="C182" i="1" s="1"/>
  <c r="B183" i="1" l="1"/>
  <c r="C183" i="1" s="1"/>
  <c r="D182" i="1"/>
  <c r="E182" i="1" s="1"/>
  <c r="B184" i="1" l="1"/>
  <c r="C184" i="1" s="1"/>
  <c r="D183" i="1"/>
  <c r="E183" i="1" s="1"/>
  <c r="B185" i="1" l="1"/>
  <c r="C185" i="1" s="1"/>
  <c r="D184" i="1"/>
  <c r="E184" i="1" s="1"/>
  <c r="D185" i="1" l="1"/>
  <c r="E185" i="1" s="1"/>
  <c r="B186" i="1"/>
  <c r="C186" i="1" s="1"/>
  <c r="D186" i="1" l="1"/>
  <c r="E186" i="1" s="1"/>
  <c r="B187" i="1"/>
  <c r="C187" i="1" s="1"/>
  <c r="D187" i="1" l="1"/>
  <c r="E187" i="1" s="1"/>
  <c r="B188" i="1"/>
  <c r="C188" i="1" s="1"/>
  <c r="B189" i="1" l="1"/>
  <c r="C189" i="1" s="1"/>
  <c r="D188" i="1"/>
  <c r="E188" i="1" s="1"/>
  <c r="D189" i="1" l="1"/>
  <c r="E189" i="1" s="1"/>
  <c r="B190" i="1"/>
  <c r="C190" i="1" s="1"/>
  <c r="D190" i="1" l="1"/>
  <c r="E190" i="1" s="1"/>
  <c r="B191" i="1"/>
  <c r="C191" i="1" s="1"/>
  <c r="B192" i="1" l="1"/>
  <c r="C192" i="1" s="1"/>
  <c r="D191" i="1"/>
  <c r="E191" i="1" s="1"/>
  <c r="D192" i="1" l="1"/>
  <c r="E192" i="1" s="1"/>
  <c r="B193" i="1"/>
  <c r="C193" i="1" s="1"/>
  <c r="D193" i="1" l="1"/>
  <c r="E193" i="1" s="1"/>
  <c r="B194" i="1"/>
  <c r="C194" i="1" s="1"/>
  <c r="D194" i="1" l="1"/>
  <c r="E194" i="1" s="1"/>
  <c r="B195" i="1"/>
  <c r="C195" i="1" s="1"/>
  <c r="B196" i="1" l="1"/>
  <c r="C196" i="1" s="1"/>
  <c r="D195" i="1"/>
  <c r="E195" i="1" s="1"/>
  <c r="B197" i="1" l="1"/>
  <c r="C197" i="1" s="1"/>
  <c r="D196" i="1"/>
  <c r="E196" i="1" s="1"/>
  <c r="D197" i="1" l="1"/>
  <c r="E197" i="1" s="1"/>
  <c r="B198" i="1"/>
  <c r="C198" i="1" s="1"/>
  <c r="D198" i="1" l="1"/>
  <c r="E198" i="1" s="1"/>
  <c r="B199" i="1"/>
  <c r="C199" i="1" s="1"/>
  <c r="D199" i="1" l="1"/>
  <c r="E199" i="1" s="1"/>
  <c r="B200" i="1"/>
  <c r="C200" i="1" s="1"/>
  <c r="B201" i="1" l="1"/>
  <c r="C201" i="1" s="1"/>
  <c r="D200" i="1"/>
  <c r="E200" i="1" s="1"/>
  <c r="B202" i="1" l="1"/>
  <c r="C202" i="1" s="1"/>
  <c r="D201" i="1"/>
  <c r="E201" i="1" s="1"/>
  <c r="D202" i="1" l="1"/>
  <c r="E202" i="1" s="1"/>
  <c r="B203" i="1"/>
  <c r="C203" i="1" s="1"/>
  <c r="D203" i="1" l="1"/>
  <c r="E203" i="1" s="1"/>
  <c r="B204" i="1"/>
  <c r="C204" i="1" s="1"/>
  <c r="B205" i="1" l="1"/>
  <c r="C205" i="1" s="1"/>
  <c r="D204" i="1"/>
  <c r="E204" i="1" s="1"/>
  <c r="D205" i="1" l="1"/>
  <c r="E205" i="1" s="1"/>
  <c r="B206" i="1"/>
  <c r="C206" i="1" s="1"/>
  <c r="B207" i="1" l="1"/>
  <c r="C207" i="1" s="1"/>
  <c r="D206" i="1"/>
  <c r="E206" i="1" s="1"/>
  <c r="D207" i="1" l="1"/>
  <c r="E207" i="1" s="1"/>
  <c r="B208" i="1"/>
  <c r="C208" i="1" s="1"/>
  <c r="B209" i="1" l="1"/>
  <c r="C209" i="1" s="1"/>
  <c r="D208" i="1"/>
  <c r="E208" i="1" s="1"/>
  <c r="B210" i="1" l="1"/>
  <c r="C210" i="1" s="1"/>
  <c r="D209" i="1"/>
  <c r="E209" i="1" s="1"/>
  <c r="D210" i="1" l="1"/>
  <c r="E210" i="1" s="1"/>
  <c r="B211" i="1"/>
  <c r="C211" i="1" s="1"/>
  <c r="B212" i="1" l="1"/>
  <c r="C212" i="1" s="1"/>
  <c r="D211" i="1"/>
  <c r="E211" i="1" s="1"/>
  <c r="B213" i="1" l="1"/>
  <c r="C213" i="1" s="1"/>
  <c r="D212" i="1"/>
  <c r="E212" i="1" s="1"/>
  <c r="B214" i="1" l="1"/>
  <c r="C214" i="1" s="1"/>
  <c r="D213" i="1"/>
  <c r="E213" i="1" s="1"/>
  <c r="D214" i="1" l="1"/>
  <c r="E214" i="1" s="1"/>
  <c r="B215" i="1"/>
  <c r="C215" i="1" s="1"/>
  <c r="D215" i="1" l="1"/>
  <c r="E215" i="1" s="1"/>
  <c r="B216" i="1"/>
  <c r="C216" i="1" s="1"/>
  <c r="D216" i="1" l="1"/>
  <c r="E216" i="1" s="1"/>
  <c r="B217" i="1"/>
  <c r="C217" i="1" s="1"/>
  <c r="B218" i="1" l="1"/>
  <c r="C218" i="1" s="1"/>
  <c r="D217" i="1"/>
  <c r="E217" i="1" s="1"/>
  <c r="B219" i="1" l="1"/>
  <c r="C219" i="1" s="1"/>
  <c r="D218" i="1"/>
  <c r="E218" i="1" s="1"/>
  <c r="B220" i="1" l="1"/>
  <c r="C220" i="1" s="1"/>
  <c r="D219" i="1"/>
  <c r="E219" i="1" s="1"/>
  <c r="B221" i="1" l="1"/>
  <c r="C221" i="1" s="1"/>
  <c r="D220" i="1"/>
  <c r="E220" i="1" s="1"/>
  <c r="D221" i="1" l="1"/>
  <c r="E221" i="1" s="1"/>
  <c r="B222" i="1"/>
  <c r="C222" i="1" s="1"/>
  <c r="D222" i="1" l="1"/>
  <c r="E222" i="1" s="1"/>
  <c r="B223" i="1"/>
  <c r="C223" i="1" s="1"/>
  <c r="D223" i="1" l="1"/>
  <c r="E223" i="1" s="1"/>
  <c r="B224" i="1"/>
  <c r="C224" i="1" s="1"/>
  <c r="B225" i="1" l="1"/>
  <c r="C225" i="1" s="1"/>
  <c r="D224" i="1"/>
  <c r="E224" i="1" s="1"/>
  <c r="D225" i="1" l="1"/>
  <c r="E225" i="1" s="1"/>
  <c r="B226" i="1"/>
  <c r="C226" i="1" s="1"/>
  <c r="D226" i="1" l="1"/>
  <c r="E226" i="1" s="1"/>
  <c r="B227" i="1"/>
  <c r="C227" i="1" s="1"/>
  <c r="D227" i="1" l="1"/>
  <c r="E227" i="1" s="1"/>
  <c r="B228" i="1"/>
  <c r="C228" i="1" s="1"/>
  <c r="B229" i="1" l="1"/>
  <c r="C229" i="1" s="1"/>
  <c r="D228" i="1"/>
  <c r="E228" i="1" s="1"/>
  <c r="D229" i="1" l="1"/>
  <c r="E229" i="1" s="1"/>
  <c r="B230" i="1"/>
  <c r="C230" i="1" s="1"/>
  <c r="B231" i="1" l="1"/>
  <c r="C231" i="1" s="1"/>
  <c r="D230" i="1"/>
  <c r="E230" i="1" s="1"/>
  <c r="D231" i="1" l="1"/>
  <c r="E231" i="1" s="1"/>
  <c r="B232" i="1"/>
  <c r="C232" i="1" s="1"/>
  <c r="B233" i="1" l="1"/>
  <c r="C233" i="1" s="1"/>
  <c r="D232" i="1"/>
  <c r="E232" i="1" s="1"/>
  <c r="D233" i="1" l="1"/>
  <c r="E233" i="1" s="1"/>
  <c r="B234" i="1"/>
  <c r="C234" i="1" s="1"/>
  <c r="D234" i="1" l="1"/>
  <c r="E234" i="1" s="1"/>
  <c r="B235" i="1"/>
  <c r="C235" i="1" s="1"/>
  <c r="B236" i="1" l="1"/>
  <c r="C236" i="1" s="1"/>
  <c r="D235" i="1"/>
  <c r="E235" i="1" s="1"/>
  <c r="B237" i="1" l="1"/>
  <c r="C237" i="1" s="1"/>
  <c r="D236" i="1"/>
  <c r="E236" i="1" s="1"/>
  <c r="B238" i="1" l="1"/>
  <c r="C238" i="1" s="1"/>
  <c r="D237" i="1"/>
  <c r="E237" i="1" s="1"/>
  <c r="D238" i="1" l="1"/>
  <c r="E238" i="1" s="1"/>
  <c r="B239" i="1"/>
  <c r="C239" i="1" s="1"/>
  <c r="D239" i="1" l="1"/>
  <c r="E239" i="1" s="1"/>
  <c r="B240" i="1"/>
  <c r="C240" i="1" s="1"/>
  <c r="B241" i="1" l="1"/>
  <c r="C241" i="1" s="1"/>
  <c r="D240" i="1"/>
  <c r="E240" i="1" s="1"/>
  <c r="D241" i="1" l="1"/>
  <c r="E241" i="1" s="1"/>
  <c r="B242" i="1"/>
  <c r="C242" i="1" s="1"/>
  <c r="B243" i="1" l="1"/>
  <c r="C243" i="1" s="1"/>
  <c r="D242" i="1"/>
  <c r="E242" i="1" s="1"/>
  <c r="D243" i="1" l="1"/>
  <c r="E243" i="1" s="1"/>
  <c r="B244" i="1"/>
  <c r="C244" i="1" s="1"/>
  <c r="B245" i="1" l="1"/>
  <c r="C245" i="1" s="1"/>
  <c r="D244" i="1"/>
  <c r="E244" i="1" s="1"/>
  <c r="D245" i="1" l="1"/>
  <c r="E245" i="1" s="1"/>
  <c r="B246" i="1"/>
  <c r="C246" i="1" s="1"/>
  <c r="B247" i="1" l="1"/>
  <c r="C247" i="1" s="1"/>
  <c r="D246" i="1"/>
  <c r="E246" i="1" s="1"/>
  <c r="B248" i="1" l="1"/>
  <c r="C248" i="1" s="1"/>
  <c r="D247" i="1"/>
  <c r="E247" i="1" s="1"/>
  <c r="B249" i="1" l="1"/>
  <c r="C249" i="1" s="1"/>
  <c r="D248" i="1"/>
  <c r="E248" i="1" s="1"/>
  <c r="D249" i="1" l="1"/>
  <c r="E249" i="1" s="1"/>
  <c r="B250" i="1"/>
  <c r="C250" i="1" s="1"/>
  <c r="D250" i="1" l="1"/>
  <c r="E250" i="1" s="1"/>
  <c r="B251" i="1"/>
  <c r="C251" i="1" s="1"/>
  <c r="D251" i="1" l="1"/>
  <c r="E251" i="1" s="1"/>
  <c r="B252" i="1"/>
  <c r="C252" i="1" s="1"/>
  <c r="B253" i="1" l="1"/>
  <c r="C253" i="1" s="1"/>
  <c r="D252" i="1"/>
  <c r="E252" i="1" s="1"/>
  <c r="D253" i="1" l="1"/>
  <c r="E253" i="1" s="1"/>
  <c r="B254" i="1"/>
  <c r="C254" i="1" s="1"/>
  <c r="D254" i="1" l="1"/>
  <c r="E254" i="1" s="1"/>
  <c r="B255" i="1"/>
  <c r="C255" i="1" s="1"/>
  <c r="B256" i="1" l="1"/>
  <c r="C256" i="1" s="1"/>
  <c r="D255" i="1"/>
  <c r="E255" i="1" s="1"/>
  <c r="B257" i="1" l="1"/>
  <c r="C257" i="1" s="1"/>
  <c r="D256" i="1"/>
  <c r="E256" i="1" s="1"/>
  <c r="D257" i="1" l="1"/>
  <c r="E257" i="1" s="1"/>
  <c r="B258" i="1"/>
  <c r="C258" i="1" s="1"/>
  <c r="D258" i="1" l="1"/>
  <c r="E258" i="1" s="1"/>
  <c r="B259" i="1"/>
  <c r="C259" i="1" s="1"/>
  <c r="D259" i="1" l="1"/>
  <c r="E259" i="1" s="1"/>
  <c r="B260" i="1"/>
  <c r="C260" i="1" s="1"/>
  <c r="B261" i="1" l="1"/>
  <c r="C261" i="1" s="1"/>
  <c r="D260" i="1"/>
  <c r="E260" i="1" s="1"/>
  <c r="D261" i="1" l="1"/>
  <c r="E261" i="1" s="1"/>
  <c r="B262" i="1"/>
  <c r="C262" i="1" s="1"/>
  <c r="D262" i="1" l="1"/>
  <c r="E262" i="1" s="1"/>
  <c r="B263" i="1"/>
  <c r="C263" i="1" s="1"/>
  <c r="B264" i="1" l="1"/>
  <c r="C264" i="1" s="1"/>
  <c r="D263" i="1"/>
  <c r="E263" i="1" s="1"/>
  <c r="D264" i="1" l="1"/>
  <c r="E264" i="1" s="1"/>
  <c r="B265" i="1"/>
  <c r="C265" i="1" s="1"/>
  <c r="D265" i="1" l="1"/>
  <c r="E265" i="1" s="1"/>
  <c r="B266" i="1"/>
  <c r="C266" i="1" s="1"/>
  <c r="B267" i="1" l="1"/>
  <c r="C267" i="1" s="1"/>
  <c r="D266" i="1"/>
  <c r="E266" i="1" s="1"/>
  <c r="B268" i="1" l="1"/>
  <c r="C268" i="1" s="1"/>
  <c r="D267" i="1"/>
  <c r="E267" i="1" s="1"/>
  <c r="B269" i="1" l="1"/>
  <c r="C269" i="1" s="1"/>
  <c r="D268" i="1"/>
  <c r="E268" i="1" s="1"/>
  <c r="B270" i="1" l="1"/>
  <c r="C270" i="1" s="1"/>
  <c r="D269" i="1"/>
  <c r="E269" i="1" s="1"/>
  <c r="D270" i="1" l="1"/>
  <c r="E270" i="1" s="1"/>
  <c r="B271" i="1"/>
  <c r="C271" i="1" s="1"/>
  <c r="B272" i="1" l="1"/>
  <c r="C272" i="1" s="1"/>
  <c r="D271" i="1"/>
  <c r="E271" i="1" s="1"/>
  <c r="D272" i="1" l="1"/>
  <c r="E272" i="1" s="1"/>
  <c r="B273" i="1"/>
  <c r="C273" i="1" s="1"/>
  <c r="D273" i="1" l="1"/>
  <c r="E273" i="1" s="1"/>
  <c r="B274" i="1"/>
  <c r="C274" i="1" s="1"/>
  <c r="B275" i="1" l="1"/>
  <c r="C275" i="1" s="1"/>
  <c r="D274" i="1"/>
  <c r="E274" i="1" s="1"/>
  <c r="B276" i="1" l="1"/>
  <c r="C276" i="1" s="1"/>
  <c r="D275" i="1"/>
  <c r="E275" i="1" s="1"/>
  <c r="D276" i="1" l="1"/>
  <c r="E276" i="1" s="1"/>
  <c r="B277" i="1"/>
  <c r="C277" i="1" s="1"/>
  <c r="B278" i="1" l="1"/>
  <c r="C278" i="1" s="1"/>
  <c r="D277" i="1"/>
  <c r="E277" i="1" s="1"/>
  <c r="B279" i="1" l="1"/>
  <c r="C279" i="1" s="1"/>
  <c r="D278" i="1"/>
  <c r="E278" i="1" s="1"/>
  <c r="D279" i="1" l="1"/>
  <c r="E279" i="1" s="1"/>
  <c r="B280" i="1"/>
  <c r="C280" i="1" s="1"/>
  <c r="D280" i="1" l="1"/>
  <c r="E280" i="1" s="1"/>
  <c r="B281" i="1"/>
  <c r="C281" i="1" s="1"/>
  <c r="D281" i="1" l="1"/>
  <c r="E281" i="1" s="1"/>
  <c r="B282" i="1"/>
  <c r="C282" i="1" s="1"/>
  <c r="D282" i="1" l="1"/>
  <c r="E282" i="1" s="1"/>
  <c r="B283" i="1"/>
  <c r="C283" i="1" s="1"/>
  <c r="D283" i="1" l="1"/>
  <c r="E283" i="1" s="1"/>
  <c r="B284" i="1"/>
  <c r="C284" i="1" s="1"/>
  <c r="B285" i="1" l="1"/>
  <c r="C285" i="1" s="1"/>
  <c r="D284" i="1"/>
  <c r="E284" i="1" s="1"/>
  <c r="D285" i="1" l="1"/>
  <c r="E285" i="1" s="1"/>
  <c r="B286" i="1"/>
  <c r="C286" i="1" s="1"/>
  <c r="B287" i="1" l="1"/>
  <c r="C287" i="1" s="1"/>
  <c r="D286" i="1"/>
  <c r="E286" i="1" s="1"/>
  <c r="D287" i="1" l="1"/>
  <c r="E287" i="1" s="1"/>
  <c r="B288" i="1"/>
  <c r="C288" i="1" s="1"/>
  <c r="B289" i="1" l="1"/>
  <c r="C289" i="1" s="1"/>
  <c r="D288" i="1"/>
  <c r="E288" i="1" s="1"/>
  <c r="D289" i="1" l="1"/>
  <c r="E289" i="1" s="1"/>
  <c r="B290" i="1"/>
  <c r="C290" i="1" s="1"/>
  <c r="B291" i="1" l="1"/>
  <c r="C291" i="1" s="1"/>
  <c r="D290" i="1"/>
  <c r="E290" i="1" s="1"/>
  <c r="B292" i="1" l="1"/>
  <c r="C292" i="1" s="1"/>
  <c r="D291" i="1"/>
  <c r="E291" i="1" s="1"/>
  <c r="D292" i="1" l="1"/>
  <c r="E292" i="1" s="1"/>
  <c r="B293" i="1"/>
  <c r="C293" i="1" s="1"/>
  <c r="D293" i="1" l="1"/>
  <c r="E293" i="1" s="1"/>
  <c r="B294" i="1"/>
  <c r="C294" i="1" s="1"/>
  <c r="B295" i="1" l="1"/>
  <c r="C295" i="1" s="1"/>
  <c r="D294" i="1"/>
  <c r="E294" i="1" s="1"/>
  <c r="B296" i="1" l="1"/>
  <c r="C296" i="1" s="1"/>
  <c r="D295" i="1"/>
  <c r="E295" i="1" s="1"/>
  <c r="B297" i="1" l="1"/>
  <c r="C297" i="1" s="1"/>
  <c r="D296" i="1"/>
  <c r="E296" i="1" s="1"/>
  <c r="D297" i="1" l="1"/>
  <c r="E297" i="1" s="1"/>
  <c r="B298" i="1"/>
  <c r="C298" i="1" s="1"/>
  <c r="D298" i="1" l="1"/>
  <c r="E298" i="1" s="1"/>
  <c r="B299" i="1"/>
  <c r="C299" i="1" s="1"/>
  <c r="D299" i="1" l="1"/>
  <c r="E299" i="1" s="1"/>
  <c r="B300" i="1"/>
  <c r="C300" i="1" s="1"/>
  <c r="B301" i="1" l="1"/>
  <c r="C301" i="1" s="1"/>
  <c r="D300" i="1"/>
  <c r="E300" i="1" s="1"/>
  <c r="B302" i="1" l="1"/>
  <c r="C302" i="1" s="1"/>
  <c r="D301" i="1"/>
  <c r="E301" i="1" s="1"/>
  <c r="B303" i="1" l="1"/>
  <c r="C303" i="1" s="1"/>
  <c r="D302" i="1"/>
  <c r="E302" i="1" s="1"/>
  <c r="D303" i="1" l="1"/>
  <c r="E303" i="1" s="1"/>
  <c r="B304" i="1"/>
  <c r="C304" i="1" s="1"/>
  <c r="B305" i="1" l="1"/>
  <c r="C305" i="1" s="1"/>
  <c r="D304" i="1"/>
  <c r="E304" i="1" s="1"/>
  <c r="B306" i="1" l="1"/>
  <c r="C306" i="1" s="1"/>
  <c r="D305" i="1"/>
  <c r="E305" i="1" s="1"/>
  <c r="B307" i="1" l="1"/>
  <c r="C307" i="1" s="1"/>
  <c r="D306" i="1"/>
  <c r="E306" i="1" s="1"/>
  <c r="B308" i="1" l="1"/>
  <c r="C308" i="1" s="1"/>
  <c r="D307" i="1"/>
  <c r="E307" i="1" s="1"/>
  <c r="D308" i="1" l="1"/>
  <c r="E308" i="1" s="1"/>
  <c r="B309" i="1"/>
  <c r="C309" i="1" s="1"/>
  <c r="D309" i="1" l="1"/>
  <c r="E309" i="1" s="1"/>
  <c r="B310" i="1"/>
  <c r="C310" i="1" s="1"/>
  <c r="B311" i="1" l="1"/>
  <c r="C311" i="1" s="1"/>
  <c r="D310" i="1"/>
  <c r="E310" i="1" s="1"/>
  <c r="D311" i="1" l="1"/>
  <c r="E311" i="1" s="1"/>
  <c r="B312" i="1"/>
  <c r="C312" i="1" s="1"/>
  <c r="B313" i="1" l="1"/>
  <c r="C313" i="1" s="1"/>
  <c r="D312" i="1"/>
  <c r="E312" i="1" s="1"/>
  <c r="D313" i="1" l="1"/>
  <c r="E313" i="1" s="1"/>
  <c r="B314" i="1"/>
  <c r="C314" i="1" s="1"/>
  <c r="D314" i="1" l="1"/>
  <c r="E314" i="1" s="1"/>
  <c r="B315" i="1"/>
  <c r="C315" i="1" s="1"/>
  <c r="D315" i="1" l="1"/>
  <c r="E315" i="1" s="1"/>
  <c r="B316" i="1"/>
  <c r="C316" i="1" s="1"/>
  <c r="B317" i="1" l="1"/>
  <c r="C317" i="1" s="1"/>
  <c r="D316" i="1"/>
  <c r="E316" i="1" s="1"/>
  <c r="B318" i="1" l="1"/>
  <c r="C318" i="1" s="1"/>
  <c r="D317" i="1"/>
  <c r="E317" i="1" s="1"/>
  <c r="D318" i="1" l="1"/>
  <c r="E318" i="1" s="1"/>
  <c r="B319" i="1"/>
  <c r="C319" i="1" s="1"/>
  <c r="D319" i="1" l="1"/>
  <c r="E319" i="1" s="1"/>
  <c r="B320" i="1"/>
  <c r="C320" i="1" s="1"/>
  <c r="D320" i="1" l="1"/>
  <c r="E320" i="1" s="1"/>
  <c r="B321" i="1"/>
  <c r="C321" i="1" s="1"/>
  <c r="D321" i="1" l="1"/>
  <c r="E321" i="1" s="1"/>
  <c r="B322" i="1"/>
  <c r="C322" i="1" s="1"/>
  <c r="B323" i="1" l="1"/>
  <c r="C323" i="1" s="1"/>
  <c r="D322" i="1"/>
  <c r="E322" i="1" s="1"/>
  <c r="D323" i="1" l="1"/>
  <c r="E323" i="1" s="1"/>
  <c r="B324" i="1"/>
  <c r="C324" i="1" s="1"/>
  <c r="B325" i="1" l="1"/>
  <c r="C325" i="1" s="1"/>
  <c r="D324" i="1"/>
  <c r="E324" i="1" s="1"/>
  <c r="D325" i="1" l="1"/>
  <c r="E325" i="1" s="1"/>
  <c r="B326" i="1"/>
  <c r="C326" i="1" s="1"/>
  <c r="B327" i="1" l="1"/>
  <c r="C327" i="1" s="1"/>
  <c r="D326" i="1"/>
  <c r="E326" i="1" s="1"/>
  <c r="D327" i="1" l="1"/>
  <c r="E327" i="1" s="1"/>
  <c r="B328" i="1"/>
  <c r="C328" i="1" s="1"/>
  <c r="B329" i="1" l="1"/>
  <c r="C329" i="1" s="1"/>
  <c r="D328" i="1"/>
  <c r="E328" i="1" s="1"/>
  <c r="D329" i="1" l="1"/>
  <c r="E329" i="1" s="1"/>
  <c r="B330" i="1"/>
  <c r="C330" i="1" s="1"/>
  <c r="D330" i="1" l="1"/>
  <c r="E330" i="1" s="1"/>
  <c r="B331" i="1"/>
  <c r="C331" i="1" s="1"/>
  <c r="D331" i="1" l="1"/>
  <c r="E331" i="1" s="1"/>
  <c r="B332" i="1"/>
  <c r="C332" i="1" s="1"/>
  <c r="B333" i="1" l="1"/>
  <c r="C333" i="1" s="1"/>
  <c r="D332" i="1"/>
  <c r="E332" i="1" s="1"/>
  <c r="D333" i="1" l="1"/>
  <c r="E333" i="1" s="1"/>
  <c r="B334" i="1"/>
  <c r="C334" i="1" s="1"/>
  <c r="D334" i="1" l="1"/>
  <c r="E334" i="1" s="1"/>
  <c r="B335" i="1"/>
  <c r="C335" i="1" s="1"/>
  <c r="D335" i="1" l="1"/>
  <c r="E335" i="1" s="1"/>
  <c r="B336" i="1"/>
  <c r="C336" i="1" s="1"/>
  <c r="B337" i="1" l="1"/>
  <c r="C337" i="1" s="1"/>
  <c r="D336" i="1"/>
  <c r="E336" i="1" s="1"/>
  <c r="D337" i="1" l="1"/>
  <c r="E337" i="1" s="1"/>
  <c r="B338" i="1"/>
  <c r="C338" i="1" s="1"/>
  <c r="B339" i="1" l="1"/>
  <c r="C339" i="1" s="1"/>
  <c r="D338" i="1"/>
  <c r="E338" i="1" s="1"/>
  <c r="B340" i="1" l="1"/>
  <c r="C340" i="1" s="1"/>
  <c r="D339" i="1"/>
  <c r="E339" i="1" s="1"/>
  <c r="B341" i="1" l="1"/>
  <c r="C341" i="1" s="1"/>
  <c r="D340" i="1"/>
  <c r="E340" i="1" s="1"/>
  <c r="B342" i="1" l="1"/>
  <c r="C342" i="1" s="1"/>
  <c r="D341" i="1"/>
  <c r="E341" i="1" s="1"/>
  <c r="D342" i="1" l="1"/>
  <c r="E342" i="1" s="1"/>
  <c r="B343" i="1"/>
  <c r="C343" i="1" s="1"/>
  <c r="D343" i="1" l="1"/>
  <c r="E343" i="1" s="1"/>
  <c r="B344" i="1"/>
  <c r="C344" i="1" s="1"/>
  <c r="D344" i="1" l="1"/>
  <c r="E344" i="1" s="1"/>
  <c r="B345" i="1"/>
  <c r="C345" i="1" s="1"/>
  <c r="D345" i="1" l="1"/>
  <c r="E345" i="1" s="1"/>
  <c r="B346" i="1"/>
  <c r="C346" i="1" s="1"/>
  <c r="B347" i="1" l="1"/>
  <c r="C347" i="1" s="1"/>
  <c r="D346" i="1"/>
  <c r="E346" i="1" s="1"/>
  <c r="B348" i="1" l="1"/>
  <c r="C348" i="1" s="1"/>
  <c r="D347" i="1"/>
  <c r="E347" i="1" s="1"/>
  <c r="D348" i="1" l="1"/>
  <c r="E348" i="1" s="1"/>
  <c r="B349" i="1"/>
  <c r="C349" i="1" s="1"/>
  <c r="D349" i="1" l="1"/>
  <c r="E349" i="1" s="1"/>
  <c r="B350" i="1"/>
  <c r="C350" i="1" s="1"/>
  <c r="B351" i="1" l="1"/>
  <c r="C351" i="1" s="1"/>
  <c r="D350" i="1"/>
  <c r="E350" i="1" s="1"/>
  <c r="D351" i="1" l="1"/>
  <c r="E351" i="1" s="1"/>
  <c r="B352" i="1"/>
  <c r="C352" i="1" s="1"/>
  <c r="B353" i="1" l="1"/>
  <c r="C353" i="1" s="1"/>
  <c r="D352" i="1"/>
  <c r="E352" i="1" s="1"/>
  <c r="B354" i="1" l="1"/>
  <c r="C354" i="1" s="1"/>
  <c r="D353" i="1"/>
  <c r="E353" i="1" s="1"/>
  <c r="B355" i="1" l="1"/>
  <c r="C355" i="1" s="1"/>
  <c r="D354" i="1"/>
  <c r="E354" i="1" s="1"/>
  <c r="D355" i="1" l="1"/>
  <c r="E355" i="1" s="1"/>
  <c r="B356" i="1"/>
  <c r="C356" i="1" s="1"/>
  <c r="D356" i="1" l="1"/>
  <c r="E356" i="1" s="1"/>
  <c r="B357" i="1"/>
  <c r="C357" i="1" s="1"/>
  <c r="D357" i="1" l="1"/>
  <c r="E357" i="1" s="1"/>
  <c r="B358" i="1"/>
  <c r="C358" i="1" s="1"/>
  <c r="B359" i="1" l="1"/>
  <c r="C359" i="1" s="1"/>
  <c r="D358" i="1"/>
  <c r="E358" i="1" s="1"/>
  <c r="D359" i="1" l="1"/>
  <c r="E359" i="1" s="1"/>
  <c r="B360" i="1"/>
  <c r="C360" i="1" s="1"/>
  <c r="B361" i="1" l="1"/>
  <c r="C361" i="1" s="1"/>
  <c r="D360" i="1"/>
  <c r="E360" i="1" s="1"/>
  <c r="B362" i="1" l="1"/>
  <c r="C362" i="1" s="1"/>
  <c r="D361" i="1"/>
  <c r="E361" i="1" s="1"/>
  <c r="B363" i="1" l="1"/>
  <c r="C363" i="1" s="1"/>
  <c r="D362" i="1"/>
  <c r="E362" i="1" s="1"/>
  <c r="D363" i="1" l="1"/>
  <c r="E363" i="1" s="1"/>
  <c r="B364" i="1"/>
  <c r="C364" i="1" s="1"/>
  <c r="B365" i="1" l="1"/>
  <c r="C365" i="1" s="1"/>
  <c r="D364" i="1"/>
  <c r="E364" i="1" s="1"/>
  <c r="B366" i="1" l="1"/>
  <c r="C366" i="1" s="1"/>
  <c r="D365" i="1"/>
  <c r="E365" i="1" s="1"/>
  <c r="D366" i="1" l="1"/>
  <c r="E366" i="1" s="1"/>
  <c r="B367" i="1"/>
  <c r="C367" i="1" s="1"/>
  <c r="B368" i="1" l="1"/>
  <c r="C368" i="1" s="1"/>
  <c r="D367" i="1"/>
  <c r="E367" i="1" s="1"/>
  <c r="D368" i="1" l="1"/>
  <c r="E368" i="1" s="1"/>
  <c r="B369" i="1"/>
  <c r="C369" i="1" s="1"/>
  <c r="D369" i="1" l="1"/>
  <c r="E369" i="1" s="1"/>
  <c r="B370" i="1"/>
  <c r="C370" i="1" s="1"/>
  <c r="D370" i="1" l="1"/>
  <c r="E370" i="1" s="1"/>
  <c r="B371" i="1"/>
  <c r="C371" i="1" s="1"/>
  <c r="D371" i="1" l="1"/>
  <c r="E371" i="1" s="1"/>
  <c r="B372" i="1"/>
  <c r="C372" i="1" s="1"/>
  <c r="D372" i="1" l="1"/>
  <c r="E372" i="1" s="1"/>
  <c r="B373" i="1"/>
  <c r="C373" i="1" s="1"/>
  <c r="B374" i="1" l="1"/>
  <c r="C374" i="1" s="1"/>
  <c r="D373" i="1"/>
  <c r="E373" i="1" s="1"/>
  <c r="B375" i="1" l="1"/>
  <c r="C375" i="1" s="1"/>
  <c r="D374" i="1"/>
  <c r="E374" i="1" s="1"/>
  <c r="B376" i="1" l="1"/>
  <c r="C376" i="1" s="1"/>
  <c r="D375" i="1"/>
  <c r="E375" i="1" s="1"/>
  <c r="D376" i="1" l="1"/>
  <c r="E376" i="1" s="1"/>
  <c r="B377" i="1"/>
  <c r="C377" i="1" s="1"/>
  <c r="B378" i="1" l="1"/>
  <c r="C378" i="1" s="1"/>
  <c r="D377" i="1"/>
  <c r="E377" i="1" s="1"/>
  <c r="B379" i="1" l="1"/>
  <c r="C379" i="1" s="1"/>
  <c r="D378" i="1"/>
  <c r="E378" i="1" s="1"/>
  <c r="D379" i="1" l="1"/>
  <c r="E379" i="1" s="1"/>
  <c r="B380" i="1"/>
  <c r="C380" i="1" s="1"/>
  <c r="B381" i="1" l="1"/>
  <c r="C381" i="1" s="1"/>
  <c r="D380" i="1"/>
  <c r="E380" i="1" s="1"/>
  <c r="D381" i="1" l="1"/>
  <c r="E381" i="1" s="1"/>
  <c r="B382" i="1"/>
  <c r="C382" i="1" s="1"/>
  <c r="D382" i="1" l="1"/>
  <c r="E382" i="1" s="1"/>
  <c r="B383" i="1"/>
  <c r="C383" i="1" s="1"/>
  <c r="D383" i="1" l="1"/>
  <c r="E383" i="1" s="1"/>
  <c r="B384" i="1"/>
  <c r="C384" i="1" s="1"/>
  <c r="B385" i="1" l="1"/>
  <c r="C385" i="1" s="1"/>
  <c r="D384" i="1"/>
  <c r="E384" i="1" s="1"/>
  <c r="D385" i="1" l="1"/>
  <c r="E385" i="1" s="1"/>
  <c r="B386" i="1"/>
  <c r="C386" i="1" s="1"/>
  <c r="B387" i="1" l="1"/>
  <c r="C387" i="1" s="1"/>
  <c r="D386" i="1"/>
  <c r="E386" i="1" s="1"/>
  <c r="D387" i="1" l="1"/>
  <c r="E387" i="1" s="1"/>
  <c r="B388" i="1"/>
  <c r="C388" i="1" s="1"/>
  <c r="D388" i="1" l="1"/>
  <c r="E388" i="1" s="1"/>
  <c r="B389" i="1"/>
  <c r="C389" i="1" s="1"/>
  <c r="B390" i="1" l="1"/>
  <c r="C390" i="1" s="1"/>
  <c r="D389" i="1"/>
  <c r="E389" i="1" s="1"/>
  <c r="B391" i="1" l="1"/>
  <c r="C391" i="1" s="1"/>
  <c r="D390" i="1"/>
  <c r="E390" i="1" s="1"/>
  <c r="D391" i="1" l="1"/>
  <c r="E391" i="1" s="1"/>
  <c r="B392" i="1"/>
  <c r="C392" i="1" s="1"/>
  <c r="D392" i="1" l="1"/>
  <c r="E392" i="1" s="1"/>
  <c r="B393" i="1"/>
  <c r="C393" i="1" s="1"/>
  <c r="B394" i="1" l="1"/>
  <c r="C394" i="1" s="1"/>
  <c r="D393" i="1"/>
  <c r="E393" i="1" s="1"/>
  <c r="B395" i="1" l="1"/>
  <c r="C395" i="1" s="1"/>
  <c r="D394" i="1"/>
  <c r="E394" i="1" s="1"/>
  <c r="D395" i="1" l="1"/>
  <c r="E395" i="1" s="1"/>
  <c r="B396" i="1"/>
  <c r="C396" i="1" s="1"/>
  <c r="D396" i="1" l="1"/>
  <c r="E396" i="1" s="1"/>
  <c r="B397" i="1"/>
  <c r="C397" i="1" s="1"/>
  <c r="D397" i="1" l="1"/>
  <c r="E397" i="1" s="1"/>
  <c r="B398" i="1"/>
  <c r="C398" i="1" s="1"/>
  <c r="D398" i="1" l="1"/>
  <c r="E398" i="1" s="1"/>
  <c r="B399" i="1"/>
  <c r="C399" i="1" s="1"/>
  <c r="D399" i="1" l="1"/>
  <c r="E399" i="1" s="1"/>
  <c r="B400" i="1"/>
  <c r="C400" i="1" s="1"/>
  <c r="D400" i="1" l="1"/>
  <c r="E400" i="1" s="1"/>
  <c r="B401" i="1"/>
  <c r="C401" i="1" s="1"/>
  <c r="D401" i="1" l="1"/>
  <c r="E401" i="1" s="1"/>
  <c r="B402" i="1"/>
  <c r="C402" i="1" s="1"/>
  <c r="D402" i="1" l="1"/>
  <c r="E402" i="1" s="1"/>
  <c r="B403" i="1"/>
  <c r="C403" i="1" s="1"/>
  <c r="D403" i="1" l="1"/>
  <c r="E403" i="1" s="1"/>
  <c r="B404" i="1"/>
  <c r="C404" i="1" s="1"/>
  <c r="D404" i="1" l="1"/>
  <c r="E404" i="1" s="1"/>
  <c r="B405" i="1"/>
  <c r="C405" i="1" s="1"/>
  <c r="B406" i="1" l="1"/>
  <c r="C406" i="1" s="1"/>
  <c r="D405" i="1"/>
  <c r="E405" i="1" s="1"/>
  <c r="D406" i="1" l="1"/>
  <c r="E406" i="1" s="1"/>
  <c r="B407" i="1"/>
  <c r="C407" i="1" s="1"/>
  <c r="B408" i="1" l="1"/>
  <c r="C408" i="1" s="1"/>
  <c r="D407" i="1"/>
  <c r="E407" i="1" s="1"/>
  <c r="B409" i="1" l="1"/>
  <c r="C409" i="1" s="1"/>
  <c r="D408" i="1"/>
  <c r="E408" i="1" s="1"/>
  <c r="B410" i="1" l="1"/>
  <c r="C410" i="1" s="1"/>
  <c r="D409" i="1"/>
  <c r="E409" i="1" s="1"/>
  <c r="D410" i="1" l="1"/>
  <c r="E410" i="1" s="1"/>
  <c r="B411" i="1"/>
  <c r="C411" i="1" s="1"/>
  <c r="D411" i="1" l="1"/>
  <c r="E411" i="1" s="1"/>
  <c r="K4" i="1" s="1"/>
  <c r="B412" i="1"/>
  <c r="C412" i="1" s="1"/>
  <c r="D412" i="1" s="1"/>
  <c r="E412" i="1" l="1"/>
  <c r="M19" i="1"/>
  <c r="M16" i="1"/>
  <c r="M18" i="1"/>
  <c r="M15" i="1"/>
  <c r="M12" i="1"/>
  <c r="M14" i="1"/>
  <c r="M13" i="1"/>
  <c r="M17" i="1"/>
  <c r="M4" i="1" l="1"/>
  <c r="H12" i="1"/>
  <c r="H13" i="1"/>
  <c r="J13" i="1" s="1"/>
  <c r="G2" i="1"/>
  <c r="G4" i="1"/>
  <c r="H14" i="1" l="1"/>
  <c r="J14" i="1" l="1"/>
  <c r="H15" i="1" l="1"/>
  <c r="J15" i="1" s="1"/>
  <c r="H16" i="1" s="1"/>
  <c r="J16" i="1" s="1"/>
  <c r="H17" i="1"/>
  <c r="J17" i="1" s="1"/>
  <c r="H18" i="1" l="1"/>
  <c r="J18" i="1" s="1"/>
  <c r="H19" i="1" l="1"/>
  <c r="J19" i="1" s="1"/>
  <c r="L12" i="1" s="1" a="1"/>
  <c r="L12" i="1" l="1"/>
  <c r="L21" i="1" s="1"/>
  <c r="L20" i="1"/>
  <c r="L19" i="1"/>
  <c r="L18" i="1"/>
  <c r="L17" i="1"/>
  <c r="L16" i="1"/>
  <c r="L15" i="1"/>
  <c r="L14" i="1"/>
  <c r="L13" i="1"/>
</calcChain>
</file>

<file path=xl/sharedStrings.xml><?xml version="1.0" encoding="utf-8"?>
<sst xmlns="http://schemas.openxmlformats.org/spreadsheetml/2006/main" count="37" uniqueCount="35">
  <si>
    <t>Parametros</t>
  </si>
  <si>
    <t>a</t>
  </si>
  <si>
    <t>c</t>
  </si>
  <si>
    <t>m</t>
  </si>
  <si>
    <t>Semilla</t>
  </si>
  <si>
    <t>lambda</t>
  </si>
  <si>
    <t>Metodo congruencial mixto</t>
  </si>
  <si>
    <t>xi+1 = (a * xi + c) mod (m)</t>
  </si>
  <si>
    <t>Generacion numero aleatorio</t>
  </si>
  <si>
    <t>RND = xi/(m-1)</t>
  </si>
  <si>
    <t>Iteracion i</t>
  </si>
  <si>
    <t>a * xi + c</t>
  </si>
  <si>
    <t>xi</t>
  </si>
  <si>
    <t>RND</t>
  </si>
  <si>
    <t>-</t>
  </si>
  <si>
    <t>Generacion de variables aleatorias</t>
  </si>
  <si>
    <t>Limite inferior</t>
  </si>
  <si>
    <t>Limite superior</t>
  </si>
  <si>
    <t>Fo</t>
  </si>
  <si>
    <t>Fe</t>
  </si>
  <si>
    <t>Total de variables</t>
  </si>
  <si>
    <t>Valor maximo generado</t>
  </si>
  <si>
    <t>Valor minimo generado</t>
  </si>
  <si>
    <t>Intervalo</t>
  </si>
  <si>
    <t>ni</t>
  </si>
  <si>
    <t>Intervalos</t>
  </si>
  <si>
    <t>Primeras 2 variables (n) generadas</t>
  </si>
  <si>
    <t>n1</t>
  </si>
  <si>
    <t>n2</t>
  </si>
  <si>
    <t>n399</t>
  </si>
  <si>
    <t>n400</t>
  </si>
  <si>
    <t>Step</t>
  </si>
  <si>
    <t>Densidad de distribucion utilizando exponencial negativa</t>
  </si>
  <si>
    <t>Variables excluidas</t>
  </si>
  <si>
    <t>Ultimas 2 variables (n) generadas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</si>
</sst>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2" fontId="0" fillId="0" borderId="0" xfId="0" applyNumberFormat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Border="1" applyAlignment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2" fontId="0" fillId="0" borderId="8" xfId="0" applyNumberFormat="1" applyBorder="1" applyAlignment="1"/>
    <xf numFmtId="168" fontId="0" fillId="0" borderId="4" xfId="0" applyNumberFormat="1" applyBorder="1"/>
    <xf numFmtId="168" fontId="0" fillId="0" borderId="0" xfId="0" applyNumberFormat="1" applyBorder="1"/>
    <xf numFmtId="168" fontId="0" fillId="0" borderId="5" xfId="0" applyNumberFormat="1" applyBorder="1"/>
    <xf numFmtId="168" fontId="0" fillId="0" borderId="6" xfId="0" applyNumberFormat="1" applyBorder="1"/>
    <xf numFmtId="168" fontId="0" fillId="0" borderId="7" xfId="0" applyNumberFormat="1" applyBorder="1"/>
    <xf numFmtId="168" fontId="0" fillId="0" borderId="8" xfId="0" applyNumberFormat="1" applyBorder="1"/>
    <xf numFmtId="2" fontId="0" fillId="0" borderId="5" xfId="0" applyNumberFormat="1" applyBorder="1"/>
    <xf numFmtId="2" fontId="0" fillId="0" borderId="8" xfId="0" applyNumberFormat="1" applyBorder="1"/>
    <xf numFmtId="0" fontId="0" fillId="0" borderId="4" xfId="0" applyBorder="1" applyAlignment="1">
      <alignment horizontal="center"/>
    </xf>
    <xf numFmtId="168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4"/>
  <sheetViews>
    <sheetView tabSelected="1" workbookViewId="0">
      <selection activeCell="L7" sqref="L7"/>
    </sheetView>
  </sheetViews>
  <sheetFormatPr baseColWidth="10" defaultColWidth="8.7265625" defaultRowHeight="14.5" x14ac:dyDescent="0.35"/>
  <cols>
    <col min="1" max="1" width="8.81640625" bestFit="1" customWidth="1"/>
    <col min="2" max="2" width="23.453125" bestFit="1" customWidth="1"/>
    <col min="3" max="3" width="14.26953125" bestFit="1" customWidth="1"/>
    <col min="4" max="4" width="8.81640625" bestFit="1" customWidth="1"/>
    <col min="9" max="9" width="8.7265625" customWidth="1"/>
  </cols>
  <sheetData>
    <row r="1" spans="1:13" x14ac:dyDescent="0.35">
      <c r="A1" s="3" t="s">
        <v>0</v>
      </c>
      <c r="B1" s="5"/>
      <c r="D1" s="3" t="s">
        <v>6</v>
      </c>
      <c r="E1" s="4"/>
      <c r="F1" s="4"/>
      <c r="G1" s="4" t="s">
        <v>21</v>
      </c>
      <c r="H1" s="4"/>
      <c r="I1" s="4"/>
      <c r="J1" s="4" t="s">
        <v>26</v>
      </c>
      <c r="K1" s="4"/>
      <c r="L1" s="4"/>
      <c r="M1" s="5"/>
    </row>
    <row r="2" spans="1:13" x14ac:dyDescent="0.35">
      <c r="A2" s="6" t="s">
        <v>1</v>
      </c>
      <c r="B2" s="22">
        <v>42243011</v>
      </c>
      <c r="D2" s="24" t="s">
        <v>7</v>
      </c>
      <c r="E2" s="7"/>
      <c r="F2" s="7"/>
      <c r="G2" s="25">
        <f>MAX(E13:E412)</f>
        <v>55.404300926927476</v>
      </c>
      <c r="H2" s="25"/>
      <c r="I2" s="25"/>
      <c r="J2" s="26" t="s">
        <v>27</v>
      </c>
      <c r="K2" s="27">
        <f>E13</f>
        <v>12.575153375708815</v>
      </c>
      <c r="L2" s="26" t="s">
        <v>28</v>
      </c>
      <c r="M2" s="28">
        <f>E14</f>
        <v>7.2526326963346405E-2</v>
      </c>
    </row>
    <row r="3" spans="1:13" x14ac:dyDescent="0.35">
      <c r="A3" s="6" t="s">
        <v>2</v>
      </c>
      <c r="B3" s="22">
        <v>32155522</v>
      </c>
      <c r="D3" s="24" t="s">
        <v>8</v>
      </c>
      <c r="E3" s="7"/>
      <c r="F3" s="7"/>
      <c r="G3" s="7" t="s">
        <v>22</v>
      </c>
      <c r="H3" s="7"/>
      <c r="I3" s="7"/>
      <c r="J3" s="7" t="s">
        <v>34</v>
      </c>
      <c r="K3" s="7"/>
      <c r="L3" s="7"/>
      <c r="M3" s="29"/>
    </row>
    <row r="4" spans="1:13" ht="15" thickBot="1" x14ac:dyDescent="0.4">
      <c r="A4" s="6" t="s">
        <v>3</v>
      </c>
      <c r="B4" s="22">
        <v>536870911</v>
      </c>
      <c r="D4" s="30" t="s">
        <v>9</v>
      </c>
      <c r="E4" s="14"/>
      <c r="F4" s="14"/>
      <c r="G4" s="31">
        <f>MIN(E13:E412)</f>
        <v>2.8298385547847405E-2</v>
      </c>
      <c r="H4" s="31"/>
      <c r="I4" s="31"/>
      <c r="J4" s="32" t="s">
        <v>29</v>
      </c>
      <c r="K4" s="33">
        <f>E411</f>
        <v>11.815893867858392</v>
      </c>
      <c r="L4" s="32" t="s">
        <v>30</v>
      </c>
      <c r="M4" s="34">
        <f>E412</f>
        <v>0.31411134128873031</v>
      </c>
    </row>
    <row r="5" spans="1:13" x14ac:dyDescent="0.35">
      <c r="A5" s="6" t="s">
        <v>4</v>
      </c>
      <c r="B5" s="22">
        <v>5843427899</v>
      </c>
    </row>
    <row r="6" spans="1:13" x14ac:dyDescent="0.35">
      <c r="A6" s="6" t="s">
        <v>5</v>
      </c>
      <c r="B6" s="22">
        <v>8.8700000000000001E-2</v>
      </c>
    </row>
    <row r="7" spans="1:13" x14ac:dyDescent="0.35">
      <c r="A7" s="6" t="s">
        <v>25</v>
      </c>
      <c r="B7" s="22">
        <v>8</v>
      </c>
    </row>
    <row r="8" spans="1:13" ht="15" thickBot="1" x14ac:dyDescent="0.4">
      <c r="A8" s="12" t="s">
        <v>31</v>
      </c>
      <c r="B8" s="23">
        <f>(G2-G4)/B7</f>
        <v>6.9220003176724534</v>
      </c>
    </row>
    <row r="9" spans="1:13" ht="15" thickBot="1" x14ac:dyDescent="0.4">
      <c r="B9" s="1"/>
    </row>
    <row r="10" spans="1:13" x14ac:dyDescent="0.35">
      <c r="A10" s="3" t="s">
        <v>15</v>
      </c>
      <c r="B10" s="4"/>
      <c r="C10" s="4"/>
      <c r="D10" s="4"/>
      <c r="E10" s="5"/>
      <c r="G10" s="3" t="s">
        <v>32</v>
      </c>
      <c r="H10" s="4"/>
      <c r="I10" s="4"/>
      <c r="J10" s="4"/>
      <c r="K10" s="4"/>
      <c r="L10" s="4"/>
      <c r="M10" s="5"/>
    </row>
    <row r="11" spans="1:13" x14ac:dyDescent="0.35">
      <c r="A11" s="6" t="s">
        <v>10</v>
      </c>
      <c r="B11" s="8" t="s">
        <v>11</v>
      </c>
      <c r="C11" s="8" t="s">
        <v>12</v>
      </c>
      <c r="D11" s="8" t="s">
        <v>13</v>
      </c>
      <c r="E11" s="9" t="s">
        <v>24</v>
      </c>
      <c r="G11" s="6" t="s">
        <v>23</v>
      </c>
      <c r="H11" s="7" t="s">
        <v>16</v>
      </c>
      <c r="I11" s="7"/>
      <c r="J11" s="7" t="s">
        <v>17</v>
      </c>
      <c r="K11" s="7"/>
      <c r="L11" s="8" t="s">
        <v>18</v>
      </c>
      <c r="M11" s="9" t="s">
        <v>19</v>
      </c>
    </row>
    <row r="12" spans="1:13" x14ac:dyDescent="0.35">
      <c r="A12" s="6">
        <v>0</v>
      </c>
      <c r="B12" s="8" t="s">
        <v>14</v>
      </c>
      <c r="C12" s="8">
        <v>5843427899</v>
      </c>
      <c r="D12" s="8" t="s">
        <v>14</v>
      </c>
      <c r="E12" s="9" t="s">
        <v>14</v>
      </c>
      <c r="G12" s="6">
        <v>1</v>
      </c>
      <c r="H12" s="10">
        <f>MIN(E13:E412)</f>
        <v>2.8298385547847405E-2</v>
      </c>
      <c r="I12" s="10"/>
      <c r="J12" s="10">
        <f>H12+$B$8</f>
        <v>6.9502987032203007</v>
      </c>
      <c r="K12" s="10"/>
      <c r="L12" s="8">
        <f t="array" ref="L12:L20">FREQUENCY(E13:E412, J12:J19)</f>
        <v>199</v>
      </c>
      <c r="M12" s="9">
        <f>COUNTA($D$13:$D$412)/20</f>
        <v>20</v>
      </c>
    </row>
    <row r="13" spans="1:13" x14ac:dyDescent="0.35">
      <c r="A13" s="16">
        <v>1</v>
      </c>
      <c r="B13" s="17">
        <f>$B$2*C12+$B$3</f>
        <v>2.4684398904731942E+17</v>
      </c>
      <c r="C13" s="17">
        <f>MOD(B13,$B$4)</f>
        <v>360895975</v>
      </c>
      <c r="D13" s="17">
        <f>C13/($B$4-1)</f>
        <v>0.67222113971494568</v>
      </c>
      <c r="E13" s="18">
        <f>(-1/$B$6) * LN(1-D13)</f>
        <v>12.575153375708815</v>
      </c>
      <c r="G13" s="6">
        <v>2</v>
      </c>
      <c r="H13" s="10">
        <f>J12</f>
        <v>6.9502987032203007</v>
      </c>
      <c r="I13" s="10"/>
      <c r="J13" s="10">
        <f t="shared" ref="J13:J19" si="0">H13+$B$8</f>
        <v>13.872299020892754</v>
      </c>
      <c r="K13" s="10"/>
      <c r="L13" s="8">
        <v>91</v>
      </c>
      <c r="M13" s="9">
        <f t="shared" ref="L13:V31" si="1">COUNTA($D$13:$D$412)/20</f>
        <v>20</v>
      </c>
    </row>
    <row r="14" spans="1:13" x14ac:dyDescent="0.35">
      <c r="A14" s="16">
        <v>2</v>
      </c>
      <c r="B14" s="17">
        <f t="shared" ref="B14:B77" si="2">$B$2*C13+$B$3</f>
        <v>1.5245332673936246E+16</v>
      </c>
      <c r="C14" s="17">
        <f t="shared" ref="C14:C77" si="3">MOD(B14,$B$4)</f>
        <v>3442651</v>
      </c>
      <c r="D14" s="17">
        <f t="shared" ref="D14:D77" si="4">C14/($B$4-1)</f>
        <v>6.4124372095332935E-3</v>
      </c>
      <c r="E14" s="18">
        <f t="shared" ref="E14:E77" si="5">(-1/$B$6) * LN(1-D14)</f>
        <v>7.2526326963346405E-2</v>
      </c>
      <c r="G14" s="6">
        <v>3</v>
      </c>
      <c r="H14" s="10">
        <f t="shared" ref="H14:H19" si="6">J13</f>
        <v>13.872299020892754</v>
      </c>
      <c r="I14" s="10"/>
      <c r="J14" s="10">
        <f t="shared" si="0"/>
        <v>20.794299338565207</v>
      </c>
      <c r="K14" s="10"/>
      <c r="L14" s="8">
        <v>50</v>
      </c>
      <c r="M14" s="9">
        <f t="shared" si="1"/>
        <v>20</v>
      </c>
    </row>
    <row r="15" spans="1:13" x14ac:dyDescent="0.35">
      <c r="A15" s="16">
        <v>3</v>
      </c>
      <c r="B15" s="17">
        <f t="shared" si="2"/>
        <v>145427976217683</v>
      </c>
      <c r="C15" s="17">
        <f t="shared" si="3"/>
        <v>383846003</v>
      </c>
      <c r="D15" s="17">
        <f t="shared" si="4"/>
        <v>0.71496889820310805</v>
      </c>
      <c r="E15" s="18">
        <f t="shared" si="5"/>
        <v>14.150585970188651</v>
      </c>
      <c r="G15" s="6">
        <v>4</v>
      </c>
      <c r="H15" s="10">
        <f t="shared" si="6"/>
        <v>20.794299338565207</v>
      </c>
      <c r="I15" s="10"/>
      <c r="J15" s="10">
        <f t="shared" si="0"/>
        <v>27.716299656237659</v>
      </c>
      <c r="K15" s="10"/>
      <c r="L15" s="8">
        <v>31</v>
      </c>
      <c r="M15" s="9">
        <f t="shared" si="1"/>
        <v>20</v>
      </c>
    </row>
    <row r="16" spans="1:13" x14ac:dyDescent="0.35">
      <c r="A16" s="16">
        <v>4</v>
      </c>
      <c r="B16" s="17">
        <f t="shared" si="2"/>
        <v>1.6214810959190554E+16</v>
      </c>
      <c r="C16" s="17">
        <f t="shared" si="3"/>
        <v>18838625</v>
      </c>
      <c r="D16" s="17">
        <f t="shared" si="4"/>
        <v>3.5089673605150258E-2</v>
      </c>
      <c r="E16" s="18">
        <f t="shared" si="5"/>
        <v>0.40270696704329834</v>
      </c>
      <c r="G16" s="6">
        <v>5</v>
      </c>
      <c r="H16" s="10">
        <f t="shared" si="6"/>
        <v>27.716299656237659</v>
      </c>
      <c r="I16" s="10"/>
      <c r="J16" s="10">
        <f t="shared" si="0"/>
        <v>34.638299973910115</v>
      </c>
      <c r="K16" s="10"/>
      <c r="L16" s="8">
        <v>15</v>
      </c>
      <c r="M16" s="9">
        <f t="shared" si="1"/>
        <v>20</v>
      </c>
    </row>
    <row r="17" spans="1:18" x14ac:dyDescent="0.35">
      <c r="A17" s="16">
        <v>5</v>
      </c>
      <c r="B17" s="17">
        <f t="shared" si="2"/>
        <v>795800275255397</v>
      </c>
      <c r="C17" s="17">
        <f t="shared" si="3"/>
        <v>281976474</v>
      </c>
      <c r="D17" s="17">
        <f t="shared" si="4"/>
        <v>0.52522211344995395</v>
      </c>
      <c r="E17" s="18">
        <f t="shared" si="5"/>
        <v>8.3980630391536284</v>
      </c>
      <c r="G17" s="6">
        <v>6</v>
      </c>
      <c r="H17" s="10">
        <f t="shared" si="6"/>
        <v>34.638299973910115</v>
      </c>
      <c r="I17" s="10"/>
      <c r="J17" s="10">
        <f t="shared" si="0"/>
        <v>41.560300291582571</v>
      </c>
      <c r="K17" s="10"/>
      <c r="L17" s="8">
        <v>7</v>
      </c>
      <c r="M17" s="9">
        <f t="shared" si="1"/>
        <v>20</v>
      </c>
    </row>
    <row r="18" spans="1:18" x14ac:dyDescent="0.35">
      <c r="A18" s="16">
        <v>6</v>
      </c>
      <c r="B18" s="17">
        <f t="shared" si="2"/>
        <v>1.1911535325078736E+16</v>
      </c>
      <c r="C18" s="17">
        <f t="shared" si="3"/>
        <v>286945443</v>
      </c>
      <c r="D18" s="17">
        <f t="shared" si="4"/>
        <v>0.53447753948896204</v>
      </c>
      <c r="E18" s="18">
        <f t="shared" si="5"/>
        <v>8.6200105201441115</v>
      </c>
      <c r="G18" s="6">
        <v>7</v>
      </c>
      <c r="H18" s="10">
        <f t="shared" si="6"/>
        <v>41.560300291582571</v>
      </c>
      <c r="I18" s="10"/>
      <c r="J18" s="10">
        <f t="shared" si="0"/>
        <v>48.482300609255027</v>
      </c>
      <c r="K18" s="10"/>
      <c r="L18" s="8">
        <v>1</v>
      </c>
      <c r="M18" s="9">
        <f t="shared" si="1"/>
        <v>20</v>
      </c>
    </row>
    <row r="19" spans="1:18" x14ac:dyDescent="0.35">
      <c r="A19" s="16">
        <v>7</v>
      </c>
      <c r="B19" s="17">
        <f t="shared" si="2"/>
        <v>1.2121439537204394E+16</v>
      </c>
      <c r="C19" s="17">
        <f t="shared" si="3"/>
        <v>320901054</v>
      </c>
      <c r="D19" s="17">
        <f t="shared" si="4"/>
        <v>0.59772479384289978</v>
      </c>
      <c r="E19" s="18">
        <f t="shared" si="5"/>
        <v>10.266277701905555</v>
      </c>
      <c r="G19" s="6">
        <v>8</v>
      </c>
      <c r="H19" s="10">
        <f t="shared" si="6"/>
        <v>48.482300609255027</v>
      </c>
      <c r="I19" s="10"/>
      <c r="J19" s="10">
        <f t="shared" si="0"/>
        <v>55.404300926927483</v>
      </c>
      <c r="K19" s="10"/>
      <c r="L19" s="8">
        <v>6</v>
      </c>
      <c r="M19" s="9">
        <f t="shared" si="1"/>
        <v>20</v>
      </c>
    </row>
    <row r="20" spans="1:18" x14ac:dyDescent="0.35">
      <c r="A20" s="16">
        <v>8</v>
      </c>
      <c r="B20" s="17">
        <f t="shared" si="2"/>
        <v>1.3555826786189116E+16</v>
      </c>
      <c r="C20" s="17">
        <f t="shared" si="3"/>
        <v>29066971</v>
      </c>
      <c r="D20" s="17">
        <f t="shared" si="4"/>
        <v>5.4141452737679528E-2</v>
      </c>
      <c r="E20" s="18">
        <f t="shared" si="5"/>
        <v>0.6275338029020916</v>
      </c>
      <c r="G20" s="6"/>
      <c r="H20" s="11"/>
      <c r="I20" s="11"/>
      <c r="J20" s="7" t="s">
        <v>33</v>
      </c>
      <c r="K20" s="7"/>
      <c r="L20" s="8">
        <v>0</v>
      </c>
      <c r="M20" s="9"/>
    </row>
    <row r="21" spans="1:18" ht="15" thickBot="1" x14ac:dyDescent="0.4">
      <c r="A21" s="16">
        <v>9</v>
      </c>
      <c r="B21" s="17">
        <f t="shared" si="2"/>
        <v>1227876407845203</v>
      </c>
      <c r="C21" s="17">
        <f t="shared" si="3"/>
        <v>21038925</v>
      </c>
      <c r="D21" s="17">
        <f t="shared" si="4"/>
        <v>3.9188051742270781E-2</v>
      </c>
      <c r="E21" s="18">
        <f t="shared" si="5"/>
        <v>0.45069416634724635</v>
      </c>
      <c r="G21" s="12"/>
      <c r="H21" s="13"/>
      <c r="I21" s="13"/>
      <c r="J21" s="14" t="s">
        <v>20</v>
      </c>
      <c r="K21" s="14"/>
      <c r="L21" s="13">
        <f>SUM(L12:L19)</f>
        <v>400</v>
      </c>
      <c r="M21" s="15"/>
      <c r="N21" s="2"/>
      <c r="O21" s="2"/>
      <c r="P21" s="2"/>
      <c r="Q21" s="2"/>
      <c r="R21" s="2"/>
    </row>
    <row r="22" spans="1:18" x14ac:dyDescent="0.35">
      <c r="A22" s="16">
        <v>10</v>
      </c>
      <c r="B22" s="17">
        <f t="shared" si="2"/>
        <v>888747572358697</v>
      </c>
      <c r="C22" s="17">
        <f t="shared" si="3"/>
        <v>192000166</v>
      </c>
      <c r="D22" s="17">
        <f t="shared" si="4"/>
        <v>0.35762817918370732</v>
      </c>
      <c r="E22" s="18">
        <f t="shared" si="5"/>
        <v>4.9897179570541121</v>
      </c>
      <c r="M22" s="2"/>
      <c r="N22" s="2"/>
      <c r="O22" s="2"/>
      <c r="P22" s="2"/>
      <c r="Q22" s="2"/>
      <c r="R22" s="2"/>
    </row>
    <row r="23" spans="1:18" x14ac:dyDescent="0.35">
      <c r="A23" s="16">
        <v>11</v>
      </c>
      <c r="B23" s="17">
        <f t="shared" si="2"/>
        <v>8110665156495348</v>
      </c>
      <c r="C23" s="17">
        <f t="shared" si="3"/>
        <v>74583247</v>
      </c>
      <c r="D23" s="17">
        <f t="shared" si="4"/>
        <v>0.13892212375596957</v>
      </c>
      <c r="E23" s="18">
        <f t="shared" si="5"/>
        <v>1.6862494931825898</v>
      </c>
      <c r="M23" s="2"/>
      <c r="N23" s="2"/>
      <c r="O23" s="2"/>
      <c r="P23" s="2"/>
      <c r="Q23" s="2"/>
      <c r="R23" s="2"/>
    </row>
    <row r="24" spans="1:18" x14ac:dyDescent="0.35">
      <c r="A24" s="16">
        <v>12</v>
      </c>
      <c r="B24" s="17">
        <f t="shared" si="2"/>
        <v>3150620955592239</v>
      </c>
      <c r="C24" s="17">
        <f t="shared" si="3"/>
        <v>456839671</v>
      </c>
      <c r="D24" s="17">
        <f t="shared" si="4"/>
        <v>0.85093020033437838</v>
      </c>
      <c r="E24" s="18">
        <f t="shared" si="5"/>
        <v>21.458180705697526</v>
      </c>
      <c r="M24" s="2"/>
      <c r="N24" s="2"/>
      <c r="O24" s="2"/>
      <c r="P24" s="2"/>
      <c r="Q24" s="2"/>
      <c r="R24" s="2"/>
    </row>
    <row r="25" spans="1:18" x14ac:dyDescent="0.35">
      <c r="A25" s="16">
        <v>13</v>
      </c>
      <c r="B25" s="17">
        <f t="shared" si="2"/>
        <v>1.9298283279444904E+16</v>
      </c>
      <c r="C25" s="17">
        <f t="shared" si="3"/>
        <v>432662821</v>
      </c>
      <c r="D25" s="17">
        <f t="shared" si="4"/>
        <v>0.80589730779043323</v>
      </c>
      <c r="E25" s="18">
        <f t="shared" si="5"/>
        <v>18.482163683022094</v>
      </c>
      <c r="M25" s="2"/>
      <c r="N25" s="2"/>
      <c r="O25" s="2"/>
      <c r="P25" s="2"/>
      <c r="Q25" s="2"/>
      <c r="R25" s="2"/>
    </row>
    <row r="26" spans="1:18" x14ac:dyDescent="0.35">
      <c r="A26" s="16">
        <v>14</v>
      </c>
      <c r="B26" s="17">
        <f t="shared" si="2"/>
        <v>1.8276980338949552E+16</v>
      </c>
      <c r="C26" s="17">
        <f t="shared" si="3"/>
        <v>447935544</v>
      </c>
      <c r="D26" s="17">
        <f t="shared" si="4"/>
        <v>0.83434497130790719</v>
      </c>
      <c r="E26" s="18">
        <f t="shared" si="5"/>
        <v>20.26885900072968</v>
      </c>
      <c r="M26" s="2"/>
      <c r="N26" s="2"/>
      <c r="O26" s="2"/>
      <c r="P26" s="2"/>
      <c r="Q26" s="2"/>
      <c r="R26" s="2"/>
    </row>
    <row r="27" spans="1:18" x14ac:dyDescent="0.35">
      <c r="A27" s="16">
        <v>15</v>
      </c>
      <c r="B27" s="17">
        <f t="shared" si="2"/>
        <v>1.8922146144638504E+16</v>
      </c>
      <c r="C27" s="17">
        <f t="shared" si="3"/>
        <v>426812131</v>
      </c>
      <c r="D27" s="17">
        <f t="shared" si="4"/>
        <v>0.79499954840168185</v>
      </c>
      <c r="E27" s="18">
        <f t="shared" si="5"/>
        <v>17.866325782723003</v>
      </c>
      <c r="M27" s="2"/>
      <c r="N27" s="2"/>
      <c r="O27" s="2"/>
      <c r="P27" s="2"/>
      <c r="Q27" s="2"/>
      <c r="R27" s="2"/>
    </row>
    <row r="28" spans="1:18" x14ac:dyDescent="0.35">
      <c r="A28" s="16">
        <v>16</v>
      </c>
      <c r="B28" s="17">
        <f t="shared" si="2"/>
        <v>1.802982957692196E+16</v>
      </c>
      <c r="C28" s="17">
        <f t="shared" si="3"/>
        <v>357270446</v>
      </c>
      <c r="D28" s="17">
        <f t="shared" si="4"/>
        <v>0.66546806568454231</v>
      </c>
      <c r="E28" s="18">
        <f t="shared" si="5"/>
        <v>12.34524165913367</v>
      </c>
      <c r="M28" s="2"/>
      <c r="N28" s="2"/>
      <c r="O28" s="2"/>
      <c r="P28" s="2"/>
      <c r="Q28" s="2"/>
      <c r="R28" s="2"/>
    </row>
    <row r="29" spans="1:18" x14ac:dyDescent="0.35">
      <c r="A29" s="16">
        <v>17</v>
      </c>
      <c r="B29" s="17">
        <f t="shared" si="2"/>
        <v>1.5092179412508428E+16</v>
      </c>
      <c r="C29" s="17">
        <f t="shared" si="3"/>
        <v>443666714</v>
      </c>
      <c r="D29" s="17">
        <f t="shared" si="4"/>
        <v>0.82639365578589463</v>
      </c>
      <c r="E29" s="18">
        <f t="shared" si="5"/>
        <v>19.740303634853575</v>
      </c>
      <c r="M29" s="2"/>
      <c r="N29" s="2"/>
      <c r="O29" s="2"/>
      <c r="P29" s="2"/>
      <c r="Q29" s="2"/>
      <c r="R29" s="2"/>
    </row>
    <row r="30" spans="1:18" x14ac:dyDescent="0.35">
      <c r="A30" s="16">
        <v>18</v>
      </c>
      <c r="B30" s="17">
        <f t="shared" si="2"/>
        <v>1.8741817911991376E+16</v>
      </c>
      <c r="C30" s="17">
        <f t="shared" si="3"/>
        <v>153848060</v>
      </c>
      <c r="D30" s="17">
        <f t="shared" si="4"/>
        <v>0.28656434374512862</v>
      </c>
      <c r="E30" s="18">
        <f t="shared" si="5"/>
        <v>3.806798495754367</v>
      </c>
      <c r="M30" s="2"/>
      <c r="N30" s="2"/>
      <c r="O30" s="2"/>
      <c r="P30" s="2"/>
      <c r="Q30" s="2"/>
      <c r="R30" s="2"/>
    </row>
    <row r="31" spans="1:18" x14ac:dyDescent="0.35">
      <c r="A31" s="16">
        <v>19</v>
      </c>
      <c r="B31" s="17">
        <f t="shared" si="2"/>
        <v>6499005323064182</v>
      </c>
      <c r="C31" s="17">
        <f t="shared" si="3"/>
        <v>409299442</v>
      </c>
      <c r="D31" s="17">
        <f t="shared" si="4"/>
        <v>0.76237962306432283</v>
      </c>
      <c r="E31" s="18">
        <f t="shared" si="5"/>
        <v>16.201588880013109</v>
      </c>
      <c r="M31" s="2"/>
      <c r="N31" s="2"/>
      <c r="O31" s="2"/>
      <c r="P31" s="2"/>
      <c r="Q31" s="2"/>
      <c r="R31" s="2"/>
    </row>
    <row r="32" spans="1:18" x14ac:dyDescent="0.35">
      <c r="A32" s="16">
        <v>20</v>
      </c>
      <c r="B32" s="17">
        <f t="shared" si="2"/>
        <v>1.7290040862855384E+16</v>
      </c>
      <c r="C32" s="17">
        <f t="shared" si="3"/>
        <v>431209074</v>
      </c>
      <c r="D32" s="17">
        <f t="shared" si="4"/>
        <v>0.80318949298258679</v>
      </c>
      <c r="E32" s="18">
        <f t="shared" si="5"/>
        <v>18.325974142875072</v>
      </c>
      <c r="M32" s="2"/>
      <c r="N32" s="2"/>
      <c r="O32" s="2"/>
      <c r="P32" s="2"/>
      <c r="Q32" s="2"/>
      <c r="R32" s="2"/>
    </row>
    <row r="33" spans="1:18" x14ac:dyDescent="0.35">
      <c r="A33" s="16">
        <v>21</v>
      </c>
      <c r="B33" s="17">
        <f t="shared" si="2"/>
        <v>1.8215569688437336E+16</v>
      </c>
      <c r="C33" s="17">
        <f t="shared" si="3"/>
        <v>313448974</v>
      </c>
      <c r="D33" s="17">
        <f t="shared" si="4"/>
        <v>0.58384421312750956</v>
      </c>
      <c r="E33" s="18">
        <f t="shared" si="5"/>
        <v>9.8838286488120151</v>
      </c>
      <c r="M33" s="2"/>
      <c r="N33" s="2"/>
      <c r="O33" s="2"/>
      <c r="P33" s="2"/>
      <c r="Q33" s="2"/>
      <c r="R33" s="2"/>
    </row>
    <row r="34" spans="1:18" x14ac:dyDescent="0.35">
      <c r="A34" s="16">
        <v>22</v>
      </c>
      <c r="B34" s="17">
        <f t="shared" si="2"/>
        <v>1.3241028488776236E+16</v>
      </c>
      <c r="C34" s="17">
        <f t="shared" si="3"/>
        <v>285286229</v>
      </c>
      <c r="D34" s="17">
        <f t="shared" si="4"/>
        <v>0.53138701256881282</v>
      </c>
      <c r="E34" s="18">
        <f t="shared" si="5"/>
        <v>8.5454119267611688</v>
      </c>
    </row>
    <row r="35" spans="1:18" x14ac:dyDescent="0.35">
      <c r="A35" s="16">
        <v>23</v>
      </c>
      <c r="B35" s="17">
        <f t="shared" si="2"/>
        <v>1.2051349341951042E+16</v>
      </c>
      <c r="C35" s="17">
        <f t="shared" si="3"/>
        <v>233691485</v>
      </c>
      <c r="D35" s="17">
        <f t="shared" si="4"/>
        <v>0.4352843125733894</v>
      </c>
      <c r="E35" s="18">
        <f t="shared" si="5"/>
        <v>6.4423098374506615</v>
      </c>
    </row>
    <row r="36" spans="1:18" x14ac:dyDescent="0.35">
      <c r="A36" s="16">
        <v>24</v>
      </c>
      <c r="B36" s="17">
        <f t="shared" si="2"/>
        <v>9871832003616858</v>
      </c>
      <c r="C36" s="17">
        <f t="shared" si="3"/>
        <v>16003938</v>
      </c>
      <c r="D36" s="17">
        <f t="shared" si="4"/>
        <v>2.9809657595342612E-2</v>
      </c>
      <c r="E36" s="18">
        <f t="shared" si="5"/>
        <v>0.34118373677569419</v>
      </c>
    </row>
    <row r="37" spans="1:18" x14ac:dyDescent="0.35">
      <c r="A37" s="16">
        <v>25</v>
      </c>
      <c r="B37" s="17">
        <f t="shared" si="2"/>
        <v>676054561132840</v>
      </c>
      <c r="C37" s="17">
        <f t="shared" si="3"/>
        <v>403327001</v>
      </c>
      <c r="D37" s="17">
        <f t="shared" si="4"/>
        <v>0.75125508476516267</v>
      </c>
      <c r="E37" s="18">
        <f t="shared" si="5"/>
        <v>15.685764875077183</v>
      </c>
    </row>
    <row r="38" spans="1:18" x14ac:dyDescent="0.35">
      <c r="A38" s="16">
        <v>26</v>
      </c>
      <c r="B38" s="17">
        <f t="shared" si="2"/>
        <v>1.7037746971995534E+16</v>
      </c>
      <c r="C38" s="17">
        <f t="shared" si="3"/>
        <v>435039098</v>
      </c>
      <c r="D38" s="17">
        <f t="shared" si="4"/>
        <v>0.81032346863420113</v>
      </c>
      <c r="E38" s="18">
        <f t="shared" si="5"/>
        <v>18.742222369339789</v>
      </c>
    </row>
    <row r="39" spans="1:18" x14ac:dyDescent="0.35">
      <c r="A39" s="16">
        <v>27</v>
      </c>
      <c r="B39" s="17">
        <f t="shared" si="2"/>
        <v>1.83773614343996E+16</v>
      </c>
      <c r="C39" s="17">
        <f t="shared" si="3"/>
        <v>104801367</v>
      </c>
      <c r="D39" s="17">
        <f t="shared" si="4"/>
        <v>0.19520775860252887</v>
      </c>
      <c r="E39" s="18">
        <f t="shared" si="5"/>
        <v>2.4483779041017852</v>
      </c>
    </row>
    <row r="40" spans="1:18" x14ac:dyDescent="0.35">
      <c r="A40" s="16">
        <v>28</v>
      </c>
      <c r="B40" s="17">
        <f t="shared" si="2"/>
        <v>4427125331151559</v>
      </c>
      <c r="C40" s="17">
        <f t="shared" si="3"/>
        <v>289087066</v>
      </c>
      <c r="D40" s="17">
        <f t="shared" si="4"/>
        <v>0.53846662319625405</v>
      </c>
      <c r="E40" s="18">
        <f t="shared" si="5"/>
        <v>8.7170338807146059</v>
      </c>
    </row>
    <row r="41" spans="1:18" x14ac:dyDescent="0.35">
      <c r="A41" s="16">
        <v>29</v>
      </c>
      <c r="B41" s="17">
        <f t="shared" si="2"/>
        <v>1.2211908141151248E+16</v>
      </c>
      <c r="C41" s="17">
        <f t="shared" si="3"/>
        <v>270764387</v>
      </c>
      <c r="D41" s="17">
        <f t="shared" si="4"/>
        <v>0.50433797390884894</v>
      </c>
      <c r="E41" s="18">
        <f t="shared" si="5"/>
        <v>7.9127506598061306</v>
      </c>
    </row>
    <row r="42" spans="1:18" x14ac:dyDescent="0.35">
      <c r="A42" s="16">
        <v>30</v>
      </c>
      <c r="B42" s="17">
        <f t="shared" si="2"/>
        <v>1.1437903010604778E+16</v>
      </c>
      <c r="C42" s="17">
        <f t="shared" si="3"/>
        <v>321993884</v>
      </c>
      <c r="D42" s="17">
        <f t="shared" si="4"/>
        <v>0.59976034834891689</v>
      </c>
      <c r="E42" s="18">
        <f t="shared" si="5"/>
        <v>10.32346992280325</v>
      </c>
    </row>
    <row r="43" spans="1:18" x14ac:dyDescent="0.35">
      <c r="A43" s="16">
        <v>31</v>
      </c>
      <c r="B43" s="17">
        <f t="shared" si="2"/>
        <v>1.3601991215900246E+16</v>
      </c>
      <c r="C43" s="17">
        <f t="shared" si="3"/>
        <v>2883033</v>
      </c>
      <c r="D43" s="17">
        <f t="shared" si="4"/>
        <v>5.3700674525278339E-3</v>
      </c>
      <c r="E43" s="18">
        <f t="shared" si="5"/>
        <v>6.070505178743741E-2</v>
      </c>
    </row>
    <row r="44" spans="1:18" x14ac:dyDescent="0.35">
      <c r="A44" s="16">
        <v>32</v>
      </c>
      <c r="B44" s="17">
        <f t="shared" si="2"/>
        <v>121788026887885</v>
      </c>
      <c r="C44" s="17">
        <f t="shared" si="3"/>
        <v>471340268</v>
      </c>
      <c r="D44" s="17">
        <f t="shared" si="4"/>
        <v>0.87793966709799942</v>
      </c>
      <c r="E44" s="18">
        <f t="shared" si="5"/>
        <v>23.711835676504069</v>
      </c>
    </row>
    <row r="45" spans="1:18" x14ac:dyDescent="0.35">
      <c r="A45" s="16">
        <v>33</v>
      </c>
      <c r="B45" s="17">
        <f t="shared" si="2"/>
        <v>1.9910832158022472E+16</v>
      </c>
      <c r="C45" s="17">
        <f t="shared" si="3"/>
        <v>2884007</v>
      </c>
      <c r="D45" s="17">
        <f t="shared" si="4"/>
        <v>5.3718816689099433E-3</v>
      </c>
      <c r="E45" s="18">
        <f t="shared" si="5"/>
        <v>6.0725615633097224E-2</v>
      </c>
    </row>
    <row r="46" spans="1:18" x14ac:dyDescent="0.35">
      <c r="A46" s="16">
        <v>34</v>
      </c>
      <c r="B46" s="17">
        <f t="shared" si="2"/>
        <v>121829171580599</v>
      </c>
      <c r="C46" s="17">
        <f t="shared" si="3"/>
        <v>276972835</v>
      </c>
      <c r="D46" s="17">
        <f t="shared" si="4"/>
        <v>0.51590210950338133</v>
      </c>
      <c r="E46" s="18">
        <f t="shared" si="5"/>
        <v>8.1788967263102279</v>
      </c>
    </row>
    <row r="47" spans="1:18" x14ac:dyDescent="0.35">
      <c r="A47" s="16">
        <v>35</v>
      </c>
      <c r="B47" s="17">
        <f t="shared" si="2"/>
        <v>1.1700166547761706E+16</v>
      </c>
      <c r="C47" s="17">
        <f t="shared" si="3"/>
        <v>271643668</v>
      </c>
      <c r="D47" s="17">
        <f t="shared" si="4"/>
        <v>0.50597576240441111</v>
      </c>
      <c r="E47" s="18">
        <f t="shared" si="5"/>
        <v>7.9500642507229902</v>
      </c>
    </row>
    <row r="48" spans="1:18" x14ac:dyDescent="0.35">
      <c r="A48" s="16">
        <v>36</v>
      </c>
      <c r="B48" s="17">
        <f t="shared" si="2"/>
        <v>1.147504648755987E+16</v>
      </c>
      <c r="C48" s="17">
        <f t="shared" si="3"/>
        <v>384971441</v>
      </c>
      <c r="D48" s="17">
        <f t="shared" si="4"/>
        <v>0.71706518984237755</v>
      </c>
      <c r="E48" s="18">
        <f t="shared" si="5"/>
        <v>14.233807899369802</v>
      </c>
    </row>
    <row r="49" spans="1:5" x14ac:dyDescent="0.35">
      <c r="A49" s="16">
        <v>37</v>
      </c>
      <c r="B49" s="17">
        <f t="shared" si="2"/>
        <v>1.6262352849004374E+16</v>
      </c>
      <c r="C49" s="17">
        <f t="shared" si="3"/>
        <v>378870662</v>
      </c>
      <c r="D49" s="17">
        <f t="shared" si="4"/>
        <v>0.70570160338916477</v>
      </c>
      <c r="E49" s="18">
        <f t="shared" si="5"/>
        <v>13.789865523143868</v>
      </c>
    </row>
    <row r="50" spans="1:5" x14ac:dyDescent="0.35">
      <c r="A50" s="16">
        <v>38</v>
      </c>
      <c r="B50" s="17">
        <f t="shared" si="2"/>
        <v>1.6004637574598804E+16</v>
      </c>
      <c r="C50" s="17">
        <f t="shared" si="3"/>
        <v>321614244</v>
      </c>
      <c r="D50" s="17">
        <f t="shared" si="4"/>
        <v>0.59905321374182852</v>
      </c>
      <c r="E50" s="18">
        <f t="shared" si="5"/>
        <v>10.30356891859541</v>
      </c>
    </row>
    <row r="51" spans="1:5" x14ac:dyDescent="0.35">
      <c r="A51" s="16">
        <v>39</v>
      </c>
      <c r="B51" s="17">
        <f t="shared" si="2"/>
        <v>1.3585954079204206E+16</v>
      </c>
      <c r="C51" s="17">
        <f t="shared" si="3"/>
        <v>274040385</v>
      </c>
      <c r="D51" s="17">
        <f t="shared" si="4"/>
        <v>0.51043999571517107</v>
      </c>
      <c r="E51" s="18">
        <f t="shared" si="5"/>
        <v>8.052404077966079</v>
      </c>
    </row>
    <row r="52" spans="1:5" x14ac:dyDescent="0.35">
      <c r="A52" s="16">
        <v>40</v>
      </c>
      <c r="B52" s="17">
        <f t="shared" si="2"/>
        <v>1.1576291030154758E+16</v>
      </c>
      <c r="C52" s="17">
        <f t="shared" si="3"/>
        <v>200557216</v>
      </c>
      <c r="D52" s="17">
        <f t="shared" si="4"/>
        <v>0.37356692691731053</v>
      </c>
      <c r="E52" s="18">
        <f t="shared" si="5"/>
        <v>5.2729801244199175</v>
      </c>
    </row>
    <row r="53" spans="1:5" x14ac:dyDescent="0.35">
      <c r="A53" s="16">
        <v>41</v>
      </c>
      <c r="B53" s="17">
        <f t="shared" si="2"/>
        <v>8472140713772898</v>
      </c>
      <c r="C53" s="17">
        <f t="shared" si="3"/>
        <v>447484497</v>
      </c>
      <c r="D53" s="17">
        <f t="shared" si="4"/>
        <v>0.83350483079815219</v>
      </c>
      <c r="E53" s="18">
        <f t="shared" si="5"/>
        <v>20.211826198255501</v>
      </c>
    </row>
    <row r="54" spans="1:5" x14ac:dyDescent="0.35">
      <c r="A54" s="16">
        <v>42</v>
      </c>
      <c r="B54" s="17">
        <f t="shared" si="2"/>
        <v>1.8903092561255992E+16</v>
      </c>
      <c r="C54" s="17">
        <f t="shared" si="3"/>
        <v>392061009</v>
      </c>
      <c r="D54" s="17">
        <f t="shared" si="4"/>
        <v>0.73027053933691433</v>
      </c>
      <c r="E54" s="18">
        <f t="shared" si="5"/>
        <v>14.772669896990031</v>
      </c>
    </row>
    <row r="55" spans="1:5" x14ac:dyDescent="0.35">
      <c r="A55" s="16">
        <v>43</v>
      </c>
      <c r="B55" s="17">
        <f t="shared" si="2"/>
        <v>1.6561837548013622E+16</v>
      </c>
      <c r="C55" s="17">
        <f t="shared" si="3"/>
        <v>230113136</v>
      </c>
      <c r="D55" s="17">
        <f t="shared" si="4"/>
        <v>0.42861911814145415</v>
      </c>
      <c r="E55" s="18">
        <f t="shared" si="5"/>
        <v>6.3100253457235134</v>
      </c>
    </row>
    <row r="56" spans="1:5" x14ac:dyDescent="0.35">
      <c r="A56" s="16">
        <v>44</v>
      </c>
      <c r="B56" s="17">
        <f t="shared" si="2"/>
        <v>9720671767448018</v>
      </c>
      <c r="C56" s="17">
        <f t="shared" si="3"/>
        <v>79794436</v>
      </c>
      <c r="D56" s="17">
        <f t="shared" si="4"/>
        <v>0.14862871970470518</v>
      </c>
      <c r="E56" s="18">
        <f t="shared" si="5"/>
        <v>1.8140581565478191</v>
      </c>
    </row>
    <row r="57" spans="1:5" x14ac:dyDescent="0.35">
      <c r="A57" s="16">
        <v>45</v>
      </c>
      <c r="B57" s="17">
        <f t="shared" si="2"/>
        <v>3370757269842318</v>
      </c>
      <c r="C57" s="17">
        <f t="shared" si="3"/>
        <v>370226954</v>
      </c>
      <c r="D57" s="17">
        <f t="shared" si="4"/>
        <v>0.68960144255161826</v>
      </c>
      <c r="E57" s="18">
        <f t="shared" si="5"/>
        <v>13.189381489059187</v>
      </c>
    </row>
    <row r="58" spans="1:5" x14ac:dyDescent="0.35">
      <c r="A58" s="16">
        <v>46</v>
      </c>
      <c r="B58" s="17">
        <f t="shared" si="2"/>
        <v>1.5639501322474016E+16</v>
      </c>
      <c r="C58" s="17">
        <f t="shared" si="3"/>
        <v>176607865</v>
      </c>
      <c r="D58" s="17">
        <f t="shared" si="4"/>
        <v>0.32895778428374894</v>
      </c>
      <c r="E58" s="18">
        <f t="shared" si="5"/>
        <v>4.4974433975221126</v>
      </c>
    </row>
    <row r="59" spans="1:5" x14ac:dyDescent="0.35">
      <c r="A59" s="16">
        <v>47</v>
      </c>
      <c r="B59" s="17">
        <f t="shared" si="2"/>
        <v>7460448016037037</v>
      </c>
      <c r="C59" s="17">
        <f t="shared" si="3"/>
        <v>179338900</v>
      </c>
      <c r="D59" s="17">
        <f t="shared" si="4"/>
        <v>0.33404473339782931</v>
      </c>
      <c r="E59" s="18">
        <f t="shared" si="5"/>
        <v>4.5832331224529614</v>
      </c>
    </row>
    <row r="60" spans="1:5" x14ac:dyDescent="0.35">
      <c r="A60" s="16">
        <v>48</v>
      </c>
      <c r="B60" s="17">
        <f t="shared" si="2"/>
        <v>7575815157583422</v>
      </c>
      <c r="C60" s="17">
        <f t="shared" si="3"/>
        <v>204562317</v>
      </c>
      <c r="D60" s="17">
        <f t="shared" si="4"/>
        <v>0.38102700889493157</v>
      </c>
      <c r="E60" s="18">
        <f t="shared" si="5"/>
        <v>5.4080455508369427</v>
      </c>
    </row>
    <row r="61" spans="1:5" x14ac:dyDescent="0.35">
      <c r="A61" s="16">
        <v>49</v>
      </c>
      <c r="B61" s="17">
        <f t="shared" si="2"/>
        <v>8641328239372009</v>
      </c>
      <c r="C61" s="17">
        <f t="shared" si="3"/>
        <v>84803801</v>
      </c>
      <c r="D61" s="17">
        <f t="shared" si="4"/>
        <v>0.15795938915744195</v>
      </c>
      <c r="E61" s="18">
        <f t="shared" si="5"/>
        <v>1.9382980214029755</v>
      </c>
    </row>
    <row r="62" spans="1:5" x14ac:dyDescent="0.35">
      <c r="A62" s="16">
        <v>50</v>
      </c>
      <c r="B62" s="17">
        <f t="shared" si="2"/>
        <v>3582367930640333</v>
      </c>
      <c r="C62" s="17">
        <f t="shared" si="3"/>
        <v>140228853</v>
      </c>
      <c r="D62" s="17">
        <f t="shared" si="4"/>
        <v>0.26119659379570409</v>
      </c>
      <c r="E62" s="18">
        <f t="shared" si="5"/>
        <v>3.4128908704902847</v>
      </c>
    </row>
    <row r="63" spans="1:5" x14ac:dyDescent="0.35">
      <c r="A63" s="16">
        <v>51</v>
      </c>
      <c r="B63" s="17">
        <f t="shared" si="2"/>
        <v>5923689011951905</v>
      </c>
      <c r="C63" s="17">
        <f t="shared" si="3"/>
        <v>335123875</v>
      </c>
      <c r="D63" s="17">
        <f t="shared" si="4"/>
        <v>0.62421686248562058</v>
      </c>
      <c r="E63" s="18">
        <f t="shared" si="5"/>
        <v>11.034307372189721</v>
      </c>
    </row>
    <row r="64" spans="1:5" x14ac:dyDescent="0.35">
      <c r="A64" s="16">
        <v>52</v>
      </c>
      <c r="B64" s="17">
        <f t="shared" si="2"/>
        <v>1.4156641570143146E+16</v>
      </c>
      <c r="C64" s="17">
        <f t="shared" si="3"/>
        <v>429037257</v>
      </c>
      <c r="D64" s="17">
        <f t="shared" si="4"/>
        <v>0.79914416856744952</v>
      </c>
      <c r="E64" s="18">
        <f t="shared" si="5"/>
        <v>18.096593966506024</v>
      </c>
    </row>
    <row r="65" spans="1:5" x14ac:dyDescent="0.35">
      <c r="A65" s="16">
        <v>53</v>
      </c>
      <c r="B65" s="17">
        <f t="shared" si="2"/>
        <v>1.8123825599016352E+16</v>
      </c>
      <c r="C65" s="17">
        <f t="shared" si="3"/>
        <v>483396047</v>
      </c>
      <c r="D65" s="17">
        <f t="shared" si="4"/>
        <v>0.90039530545620361</v>
      </c>
      <c r="E65" s="18">
        <f t="shared" si="5"/>
        <v>26.003900580930058</v>
      </c>
    </row>
    <row r="66" spans="1:5" x14ac:dyDescent="0.35">
      <c r="A66" s="16">
        <v>54</v>
      </c>
      <c r="B66" s="17">
        <f t="shared" si="2"/>
        <v>2.042010456293304E+16</v>
      </c>
      <c r="C66" s="17">
        <f t="shared" si="3"/>
        <v>419716352</v>
      </c>
      <c r="D66" s="17">
        <f t="shared" si="4"/>
        <v>0.78178263001808013</v>
      </c>
      <c r="E66" s="18">
        <f t="shared" si="5"/>
        <v>17.161934644512076</v>
      </c>
    </row>
    <row r="67" spans="1:5" x14ac:dyDescent="0.35">
      <c r="A67" s="16">
        <v>55</v>
      </c>
      <c r="B67" s="17">
        <f t="shared" si="2"/>
        <v>1.7730082506571394E+16</v>
      </c>
      <c r="C67" s="17">
        <f t="shared" si="3"/>
        <v>127691222</v>
      </c>
      <c r="D67" s="17">
        <f t="shared" si="4"/>
        <v>0.23784343614370912</v>
      </c>
      <c r="E67" s="18">
        <f t="shared" si="5"/>
        <v>3.0620437432026031</v>
      </c>
    </row>
    <row r="68" spans="1:5" x14ac:dyDescent="0.35">
      <c r="A68" s="16">
        <v>56</v>
      </c>
      <c r="B68" s="17">
        <f t="shared" si="2"/>
        <v>5394061727704964</v>
      </c>
      <c r="C68" s="17">
        <f t="shared" si="3"/>
        <v>499545722</v>
      </c>
      <c r="D68" s="17">
        <f t="shared" si="4"/>
        <v>0.93047641936867098</v>
      </c>
      <c r="E68" s="18">
        <f t="shared" si="5"/>
        <v>30.057376485881633</v>
      </c>
    </row>
    <row r="69" spans="1:5" x14ac:dyDescent="0.35">
      <c r="A69" s="16">
        <v>57</v>
      </c>
      <c r="B69" s="17">
        <f t="shared" si="2"/>
        <v>2.1102315461604464E+16</v>
      </c>
      <c r="C69" s="17">
        <f t="shared" si="3"/>
        <v>324974589</v>
      </c>
      <c r="D69" s="17">
        <f t="shared" si="4"/>
        <v>0.60531234407913814</v>
      </c>
      <c r="E69" s="18">
        <f t="shared" si="5"/>
        <v>10.480953454210901</v>
      </c>
    </row>
    <row r="70" spans="1:5" x14ac:dyDescent="0.35">
      <c r="A70" s="16">
        <v>58</v>
      </c>
      <c r="B70" s="17">
        <f t="shared" si="2"/>
        <v>1.3727905170003002E+16</v>
      </c>
      <c r="C70" s="17">
        <f t="shared" si="3"/>
        <v>11616226</v>
      </c>
      <c r="D70" s="17">
        <f t="shared" si="4"/>
        <v>2.1636907091874283E-2</v>
      </c>
      <c r="E70" s="18">
        <f t="shared" si="5"/>
        <v>0.24661124244919794</v>
      </c>
    </row>
    <row r="71" spans="1:5" x14ac:dyDescent="0.35">
      <c r="A71" s="16">
        <v>59</v>
      </c>
      <c r="B71" s="17">
        <f t="shared" si="2"/>
        <v>490704394852008</v>
      </c>
      <c r="C71" s="17">
        <f t="shared" si="3"/>
        <v>87230720</v>
      </c>
      <c r="D71" s="17">
        <f t="shared" si="4"/>
        <v>0.16247987807720854</v>
      </c>
      <c r="E71" s="18">
        <f t="shared" si="5"/>
        <v>1.9989852242961903</v>
      </c>
    </row>
    <row r="72" spans="1:5" x14ac:dyDescent="0.35">
      <c r="A72" s="16">
        <v>60</v>
      </c>
      <c r="B72" s="17">
        <f t="shared" si="2"/>
        <v>3684888296653442</v>
      </c>
      <c r="C72" s="17">
        <f t="shared" si="3"/>
        <v>173948313</v>
      </c>
      <c r="D72" s="17">
        <f t="shared" si="4"/>
        <v>0.3240039826333671</v>
      </c>
      <c r="E72" s="18">
        <f t="shared" si="5"/>
        <v>4.4145219213754876</v>
      </c>
    </row>
    <row r="73" spans="1:5" x14ac:dyDescent="0.35">
      <c r="A73" s="16">
        <v>61</v>
      </c>
      <c r="B73" s="17">
        <f t="shared" si="2"/>
        <v>7348100531645965</v>
      </c>
      <c r="C73" s="17">
        <f t="shared" si="3"/>
        <v>449267332</v>
      </c>
      <c r="D73" s="17">
        <f t="shared" si="4"/>
        <v>0.83682561977515224</v>
      </c>
      <c r="E73" s="18">
        <f t="shared" si="5"/>
        <v>20.438960909715547</v>
      </c>
    </row>
    <row r="74" spans="1:5" x14ac:dyDescent="0.35">
      <c r="A74" s="16">
        <v>62</v>
      </c>
      <c r="B74" s="17">
        <f t="shared" si="2"/>
        <v>1.8978404879772176E+16</v>
      </c>
      <c r="C74" s="17">
        <f t="shared" si="3"/>
        <v>459182113</v>
      </c>
      <c r="D74" s="17">
        <f t="shared" si="4"/>
        <v>0.85529333857928713</v>
      </c>
      <c r="E74" s="18">
        <f t="shared" si="5"/>
        <v>21.79308467107963</v>
      </c>
    </row>
    <row r="75" spans="1:5" x14ac:dyDescent="0.35">
      <c r="A75" s="16">
        <v>63</v>
      </c>
      <c r="B75" s="17">
        <f t="shared" si="2"/>
        <v>1.9397235082617768E+16</v>
      </c>
      <c r="C75" s="17">
        <f t="shared" si="3"/>
        <v>484487453</v>
      </c>
      <c r="D75" s="17">
        <f t="shared" si="4"/>
        <v>0.90242820755551834</v>
      </c>
      <c r="E75" s="18">
        <f t="shared" si="5"/>
        <v>26.236379246610912</v>
      </c>
    </row>
    <row r="76" spans="1:5" x14ac:dyDescent="0.35">
      <c r="A76" s="16">
        <v>64</v>
      </c>
      <c r="B76" s="17">
        <f t="shared" si="2"/>
        <v>2.0466208838596504E+16</v>
      </c>
      <c r="C76" s="17">
        <f t="shared" si="3"/>
        <v>369026780</v>
      </c>
      <c r="D76" s="17">
        <f t="shared" si="4"/>
        <v>0.68736594426395725</v>
      </c>
      <c r="E76" s="18">
        <f t="shared" si="5"/>
        <v>13.108477152595865</v>
      </c>
    </row>
    <row r="77" spans="1:5" x14ac:dyDescent="0.35">
      <c r="A77" s="16">
        <v>65</v>
      </c>
      <c r="B77" s="17">
        <f t="shared" si="2"/>
        <v>1.5588802358990102E+16</v>
      </c>
      <c r="C77" s="17">
        <f t="shared" si="3"/>
        <v>80733325</v>
      </c>
      <c r="D77" s="17">
        <f t="shared" si="4"/>
        <v>0.15037753675273632</v>
      </c>
      <c r="E77" s="18">
        <f t="shared" si="5"/>
        <v>1.8372400118603249</v>
      </c>
    </row>
    <row r="78" spans="1:5" x14ac:dyDescent="0.35">
      <c r="A78" s="16">
        <v>66</v>
      </c>
      <c r="B78" s="17">
        <f t="shared" ref="B78:B141" si="7">$B$2*C77+$B$3</f>
        <v>3410418768197097</v>
      </c>
      <c r="C78" s="17">
        <f t="shared" ref="C78:C141" si="8">MOD(B78,$B$4)</f>
        <v>530031608</v>
      </c>
      <c r="D78" s="17">
        <f t="shared" ref="D78:D141" si="9">C78/($B$4-1)</f>
        <v>0.98726080725811727</v>
      </c>
      <c r="E78" s="18">
        <f t="shared" ref="E78:E141" si="10">(-1/$B$6) * LN(1-D78)</f>
        <v>49.18908675203096</v>
      </c>
    </row>
    <row r="79" spans="1:5" x14ac:dyDescent="0.35">
      <c r="A79" s="16">
        <v>67</v>
      </c>
      <c r="B79" s="17">
        <f t="shared" si="7"/>
        <v>2.2390131079247208E+16</v>
      </c>
      <c r="C79" s="17">
        <f t="shared" si="8"/>
        <v>66081549</v>
      </c>
      <c r="D79" s="17">
        <f t="shared" si="9"/>
        <v>0.12308647715705066</v>
      </c>
      <c r="E79" s="18">
        <f t="shared" si="10"/>
        <v>1.4807992911397094</v>
      </c>
    </row>
    <row r="80" spans="1:5" x14ac:dyDescent="0.35">
      <c r="A80" s="16">
        <v>68</v>
      </c>
      <c r="B80" s="17">
        <f t="shared" si="7"/>
        <v>2791483633459561</v>
      </c>
      <c r="C80" s="17">
        <f t="shared" si="8"/>
        <v>246265888</v>
      </c>
      <c r="D80" s="17">
        <f t="shared" si="9"/>
        <v>0.45870596341306702</v>
      </c>
      <c r="E80" s="18">
        <f t="shared" si="10"/>
        <v>6.9198719512447662</v>
      </c>
    </row>
    <row r="81" spans="1:5" x14ac:dyDescent="0.35">
      <c r="A81" s="16">
        <v>69</v>
      </c>
      <c r="B81" s="17">
        <f t="shared" si="7"/>
        <v>1.040301264786429E+16</v>
      </c>
      <c r="C81" s="17">
        <f t="shared" si="8"/>
        <v>44037059</v>
      </c>
      <c r="D81" s="17">
        <f t="shared" si="9"/>
        <v>8.2025414638315947E-2</v>
      </c>
      <c r="E81" s="18">
        <f t="shared" si="10"/>
        <v>0.96488808947092797</v>
      </c>
    </row>
    <row r="82" spans="1:5" x14ac:dyDescent="0.35">
      <c r="A82" s="16">
        <v>70</v>
      </c>
      <c r="B82" s="17">
        <f t="shared" si="7"/>
        <v>1860257999900171</v>
      </c>
      <c r="C82" s="17">
        <f t="shared" si="8"/>
        <v>293285171</v>
      </c>
      <c r="D82" s="17">
        <f t="shared" si="9"/>
        <v>0.54628620313959642</v>
      </c>
      <c r="E82" s="18">
        <f t="shared" si="10"/>
        <v>8.9096807567050416</v>
      </c>
    </row>
    <row r="83" spans="1:5" x14ac:dyDescent="0.35">
      <c r="A83" s="16">
        <v>71</v>
      </c>
      <c r="B83" s="17">
        <f t="shared" si="7"/>
        <v>1.2389248736845402E+16</v>
      </c>
      <c r="C83" s="17">
        <f t="shared" si="8"/>
        <v>56524288</v>
      </c>
      <c r="D83" s="17">
        <f t="shared" si="9"/>
        <v>0.10528469124914963</v>
      </c>
      <c r="E83" s="18">
        <f t="shared" si="10"/>
        <v>1.2542243753106863</v>
      </c>
    </row>
    <row r="84" spans="1:5" x14ac:dyDescent="0.35">
      <c r="A84" s="16">
        <v>72</v>
      </c>
      <c r="B84" s="17">
        <f t="shared" si="7"/>
        <v>2387756151906690</v>
      </c>
      <c r="C84" s="17">
        <f t="shared" si="8"/>
        <v>226655928</v>
      </c>
      <c r="D84" s="17">
        <f t="shared" si="9"/>
        <v>0.42217956640638249</v>
      </c>
      <c r="E84" s="18">
        <f t="shared" si="10"/>
        <v>6.1836767429580091</v>
      </c>
    </row>
    <row r="85" spans="1:5" x14ac:dyDescent="0.35">
      <c r="A85" s="16">
        <v>73</v>
      </c>
      <c r="B85" s="17">
        <f t="shared" si="7"/>
        <v>9574628891874730</v>
      </c>
      <c r="C85" s="17">
        <f t="shared" si="8"/>
        <v>50656834</v>
      </c>
      <c r="D85" s="17">
        <f t="shared" si="9"/>
        <v>9.4355706477000215E-2</v>
      </c>
      <c r="E85" s="18">
        <f t="shared" si="10"/>
        <v>1.1173468098866859</v>
      </c>
    </row>
    <row r="86" spans="1:5" x14ac:dyDescent="0.35">
      <c r="A86" s="16">
        <v>74</v>
      </c>
      <c r="B86" s="17">
        <f t="shared" si="7"/>
        <v>2139897228042696</v>
      </c>
      <c r="C86" s="17">
        <f t="shared" si="8"/>
        <v>106886037</v>
      </c>
      <c r="D86" s="17">
        <f t="shared" si="9"/>
        <v>0.19909075908024146</v>
      </c>
      <c r="E86" s="18">
        <f t="shared" si="10"/>
        <v>2.5029046848907197</v>
      </c>
    </row>
    <row r="87" spans="1:5" x14ac:dyDescent="0.35">
      <c r="A87" s="16">
        <v>75</v>
      </c>
      <c r="B87" s="17">
        <f t="shared" si="7"/>
        <v>4515188068892929</v>
      </c>
      <c r="C87" s="17">
        <f t="shared" si="8"/>
        <v>91297106</v>
      </c>
      <c r="D87" s="17">
        <f t="shared" si="9"/>
        <v>0.17005411226322545</v>
      </c>
      <c r="E87" s="18">
        <f t="shared" si="10"/>
        <v>2.101406717189112</v>
      </c>
    </row>
    <row r="88" spans="1:5" x14ac:dyDescent="0.35">
      <c r="A88" s="16">
        <v>76</v>
      </c>
      <c r="B88" s="17">
        <f t="shared" si="7"/>
        <v>3856664685181688</v>
      </c>
      <c r="C88" s="17">
        <f t="shared" si="8"/>
        <v>419534821</v>
      </c>
      <c r="D88" s="17">
        <f t="shared" si="9"/>
        <v>0.78144450218023542</v>
      </c>
      <c r="E88" s="18">
        <f t="shared" si="10"/>
        <v>17.144479166845482</v>
      </c>
    </row>
    <row r="89" spans="1:5" x14ac:dyDescent="0.35">
      <c r="A89" s="16">
        <v>77</v>
      </c>
      <c r="B89" s="17">
        <f t="shared" si="7"/>
        <v>1.7722414090541554E+16</v>
      </c>
      <c r="C89" s="17">
        <f t="shared" si="8"/>
        <v>375754106</v>
      </c>
      <c r="D89" s="17">
        <f t="shared" si="9"/>
        <v>0.69989656545183276</v>
      </c>
      <c r="E89" s="18">
        <f t="shared" si="10"/>
        <v>13.569651430916661</v>
      </c>
    </row>
    <row r="90" spans="1:5" x14ac:dyDescent="0.35">
      <c r="A90" s="16">
        <v>78</v>
      </c>
      <c r="B90" s="17">
        <f t="shared" si="7"/>
        <v>1.5872984865208688E+16</v>
      </c>
      <c r="C90" s="17">
        <f t="shared" si="8"/>
        <v>170761370</v>
      </c>
      <c r="D90" s="17">
        <f t="shared" si="9"/>
        <v>0.31806783869142768</v>
      </c>
      <c r="E90" s="18">
        <f t="shared" si="10"/>
        <v>4.3159537351544577</v>
      </c>
    </row>
    <row r="91" spans="1:5" x14ac:dyDescent="0.35">
      <c r="A91" s="16">
        <v>79</v>
      </c>
      <c r="B91" s="17">
        <f t="shared" si="7"/>
        <v>7213474463440592</v>
      </c>
      <c r="C91" s="17">
        <f t="shared" si="8"/>
        <v>130704319</v>
      </c>
      <c r="D91" s="17">
        <f t="shared" si="9"/>
        <v>0.24345576667582902</v>
      </c>
      <c r="E91" s="18">
        <f t="shared" si="10"/>
        <v>3.145369520251863</v>
      </c>
    </row>
    <row r="92" spans="1:5" x14ac:dyDescent="0.35">
      <c r="A92" s="16">
        <v>80</v>
      </c>
      <c r="B92" s="17">
        <f t="shared" si="7"/>
        <v>5521344017420031</v>
      </c>
      <c r="C92" s="17">
        <f t="shared" si="8"/>
        <v>359939087</v>
      </c>
      <c r="D92" s="17">
        <f t="shared" si="9"/>
        <v>0.67043879691674857</v>
      </c>
      <c r="E92" s="18">
        <f t="shared" si="10"/>
        <v>12.514015749347871</v>
      </c>
    </row>
    <row r="93" spans="1:5" x14ac:dyDescent="0.35">
      <c r="A93" s="16">
        <v>81</v>
      </c>
      <c r="B93" s="17">
        <f t="shared" si="7"/>
        <v>1.5204910843626478E+16</v>
      </c>
      <c r="C93" s="17">
        <f t="shared" si="8"/>
        <v>257763895</v>
      </c>
      <c r="D93" s="17">
        <f t="shared" si="9"/>
        <v>0.48012267045722407</v>
      </c>
      <c r="E93" s="18">
        <f t="shared" si="10"/>
        <v>7.3749988721757793</v>
      </c>
    </row>
    <row r="94" spans="1:5" x14ac:dyDescent="0.35">
      <c r="A94" s="16">
        <v>82</v>
      </c>
      <c r="B94" s="17">
        <f t="shared" si="7"/>
        <v>1.0888723084043366E+16</v>
      </c>
      <c r="C94" s="17">
        <f t="shared" si="8"/>
        <v>145808969</v>
      </c>
      <c r="D94" s="17">
        <f t="shared" si="9"/>
        <v>0.27159036983396995</v>
      </c>
      <c r="E94" s="18">
        <f t="shared" si="10"/>
        <v>3.5726235651670479</v>
      </c>
    </row>
    <row r="95" spans="1:5" x14ac:dyDescent="0.35">
      <c r="A95" s="16">
        <v>83</v>
      </c>
      <c r="B95" s="17">
        <f t="shared" si="7"/>
        <v>6159409913521181</v>
      </c>
      <c r="C95" s="17">
        <f t="shared" si="8"/>
        <v>10154936</v>
      </c>
      <c r="D95" s="17">
        <f t="shared" si="9"/>
        <v>1.8915042351614841E-2</v>
      </c>
      <c r="E95" s="18">
        <f t="shared" si="10"/>
        <v>0.21528996684532559</v>
      </c>
    </row>
    <row r="96" spans="1:5" x14ac:dyDescent="0.35">
      <c r="A96" s="16">
        <v>84</v>
      </c>
      <c r="B96" s="17">
        <f t="shared" si="7"/>
        <v>428975105307818</v>
      </c>
      <c r="C96" s="17">
        <f t="shared" si="8"/>
        <v>215033310</v>
      </c>
      <c r="D96" s="17">
        <f t="shared" si="9"/>
        <v>0.40053075328666998</v>
      </c>
      <c r="E96" s="18">
        <f t="shared" si="10"/>
        <v>5.7690034279218976</v>
      </c>
    </row>
    <row r="97" spans="1:5" x14ac:dyDescent="0.35">
      <c r="A97" s="16">
        <v>85</v>
      </c>
      <c r="B97" s="17">
        <f t="shared" si="7"/>
        <v>9083654511851932</v>
      </c>
      <c r="C97" s="17">
        <f t="shared" si="8"/>
        <v>24323557</v>
      </c>
      <c r="D97" s="17">
        <f t="shared" si="9"/>
        <v>4.5306155626871271E-2</v>
      </c>
      <c r="E97" s="18">
        <f t="shared" si="10"/>
        <v>0.52271219511817157</v>
      </c>
    </row>
    <row r="98" spans="1:5" x14ac:dyDescent="0.35">
      <c r="A98" s="16">
        <v>86</v>
      </c>
      <c r="B98" s="17">
        <f t="shared" si="7"/>
        <v>1027500318065649</v>
      </c>
      <c r="C98" s="17">
        <f t="shared" si="8"/>
        <v>261371901</v>
      </c>
      <c r="D98" s="17">
        <f t="shared" si="9"/>
        <v>0.48684310535655584</v>
      </c>
      <c r="E98" s="18">
        <f t="shared" si="10"/>
        <v>7.5216870694311027</v>
      </c>
    </row>
    <row r="99" spans="1:5" x14ac:dyDescent="0.35">
      <c r="A99" s="16">
        <v>87</v>
      </c>
      <c r="B99" s="17">
        <f t="shared" si="7"/>
        <v>1.1041136121189434E+16</v>
      </c>
      <c r="C99" s="17">
        <f t="shared" si="8"/>
        <v>363160336</v>
      </c>
      <c r="D99" s="17">
        <f t="shared" si="9"/>
        <v>0.67643884076341554</v>
      </c>
      <c r="E99" s="18">
        <f t="shared" si="10"/>
        <v>12.721162661585559</v>
      </c>
    </row>
    <row r="100" spans="1:5" x14ac:dyDescent="0.35">
      <c r="A100" s="16">
        <v>88</v>
      </c>
      <c r="B100" s="17">
        <f t="shared" si="7"/>
        <v>1.5340986100567218E+16</v>
      </c>
      <c r="C100" s="17">
        <f t="shared" si="8"/>
        <v>213602575</v>
      </c>
      <c r="D100" s="17">
        <f t="shared" si="9"/>
        <v>0.3978658016691573</v>
      </c>
      <c r="E100" s="18">
        <f t="shared" si="10"/>
        <v>5.7189959154578993</v>
      </c>
    </row>
    <row r="101" spans="1:5" x14ac:dyDescent="0.35">
      <c r="A101" s="16">
        <v>89</v>
      </c>
      <c r="B101" s="17">
        <f t="shared" si="7"/>
        <v>9023215957508846</v>
      </c>
      <c r="C101" s="17">
        <f t="shared" si="8"/>
        <v>249657207</v>
      </c>
      <c r="D101" s="17">
        <f t="shared" si="9"/>
        <v>0.46502278732144381</v>
      </c>
      <c r="E101" s="18">
        <f t="shared" si="10"/>
        <v>7.0522111174457445</v>
      </c>
    </row>
    <row r="102" spans="1:5" x14ac:dyDescent="0.35">
      <c r="A102" s="16">
        <v>90</v>
      </c>
      <c r="B102" s="17">
        <f t="shared" si="7"/>
        <v>1.0546272173685798E+16</v>
      </c>
      <c r="C102" s="17">
        <f t="shared" si="8"/>
        <v>399096416</v>
      </c>
      <c r="D102" s="17">
        <f t="shared" si="9"/>
        <v>0.7433750061071478</v>
      </c>
      <c r="E102" s="18">
        <f t="shared" si="10"/>
        <v>15.334153635185855</v>
      </c>
    </row>
    <row r="103" spans="1:5" x14ac:dyDescent="0.35">
      <c r="A103" s="16">
        <v>91</v>
      </c>
      <c r="B103" s="17">
        <f t="shared" si="7"/>
        <v>1.6859034323304098E+16</v>
      </c>
      <c r="C103" s="17">
        <f t="shared" si="8"/>
        <v>301459520</v>
      </c>
      <c r="D103" s="17">
        <f t="shared" si="9"/>
        <v>0.5615121147092883</v>
      </c>
      <c r="E103" s="18">
        <f t="shared" si="10"/>
        <v>9.2945106557700292</v>
      </c>
    </row>
    <row r="104" spans="1:5" x14ac:dyDescent="0.35">
      <c r="A104" s="16">
        <v>92</v>
      </c>
      <c r="B104" s="17">
        <f t="shared" si="7"/>
        <v>1.2734557851570242E+16</v>
      </c>
      <c r="C104" s="17">
        <f t="shared" si="8"/>
        <v>243744860</v>
      </c>
      <c r="D104" s="17">
        <f t="shared" si="9"/>
        <v>0.45401018282029848</v>
      </c>
      <c r="E104" s="18">
        <f t="shared" si="10"/>
        <v>6.8224910176456506</v>
      </c>
    </row>
    <row r="105" spans="1:5" x14ac:dyDescent="0.35">
      <c r="A105" s="16">
        <v>93</v>
      </c>
      <c r="B105" s="17">
        <f t="shared" si="7"/>
        <v>1.0296516834328982E+16</v>
      </c>
      <c r="C105" s="17">
        <f t="shared" si="8"/>
        <v>91891355</v>
      </c>
      <c r="D105" s="17">
        <f t="shared" si="9"/>
        <v>0.17116098728463422</v>
      </c>
      <c r="E105" s="18">
        <f t="shared" si="10"/>
        <v>2.1164525057303694</v>
      </c>
    </row>
    <row r="106" spans="1:5" x14ac:dyDescent="0.35">
      <c r="A106" s="16">
        <v>94</v>
      </c>
      <c r="B106" s="17">
        <f t="shared" si="7"/>
        <v>3881767552225427</v>
      </c>
      <c r="C106" s="17">
        <f t="shared" si="8"/>
        <v>276522022</v>
      </c>
      <c r="D106" s="17">
        <f t="shared" si="9"/>
        <v>0.51506240485259291</v>
      </c>
      <c r="E106" s="18">
        <f t="shared" si="10"/>
        <v>8.1593581299039837</v>
      </c>
    </row>
    <row r="107" spans="1:5" x14ac:dyDescent="0.35">
      <c r="A107" s="16">
        <v>95</v>
      </c>
      <c r="B107" s="17">
        <f t="shared" si="7"/>
        <v>1.1681122849243764E+16</v>
      </c>
      <c r="C107" s="17">
        <f t="shared" si="8"/>
        <v>458080718</v>
      </c>
      <c r="D107" s="17">
        <f t="shared" si="9"/>
        <v>0.85324183051750746</v>
      </c>
      <c r="E107" s="18">
        <f t="shared" si="10"/>
        <v>21.634376013943097</v>
      </c>
    </row>
    <row r="108" spans="1:5" x14ac:dyDescent="0.35">
      <c r="A108" s="16">
        <v>96</v>
      </c>
      <c r="B108" s="17">
        <f t="shared" si="7"/>
        <v>1.9350708841517416E+16</v>
      </c>
      <c r="C108" s="17">
        <f t="shared" si="8"/>
        <v>13405272</v>
      </c>
      <c r="D108" s="17">
        <f t="shared" si="9"/>
        <v>2.496926495793933E-2</v>
      </c>
      <c r="E108" s="18">
        <f t="shared" si="10"/>
        <v>0.28507649787002043</v>
      </c>
    </row>
    <row r="109" spans="1:5" x14ac:dyDescent="0.35">
      <c r="A109" s="16">
        <v>97</v>
      </c>
      <c r="B109" s="17">
        <f t="shared" si="7"/>
        <v>566279084709514</v>
      </c>
      <c r="C109" s="17">
        <f t="shared" si="8"/>
        <v>532688578</v>
      </c>
      <c r="D109" s="17">
        <f t="shared" si="9"/>
        <v>0.99220979955870581</v>
      </c>
      <c r="E109" s="18">
        <f t="shared" si="10"/>
        <v>54.73380708952368</v>
      </c>
    </row>
    <row r="110" spans="1:5" x14ac:dyDescent="0.35">
      <c r="A110" s="16">
        <v>98</v>
      </c>
      <c r="B110" s="17">
        <f t="shared" si="7"/>
        <v>2.250236949218388E+16</v>
      </c>
      <c r="C110" s="17">
        <f t="shared" si="8"/>
        <v>246364561</v>
      </c>
      <c r="D110" s="17">
        <f t="shared" si="9"/>
        <v>0.45888975619856176</v>
      </c>
      <c r="E110" s="18">
        <f t="shared" si="10"/>
        <v>6.9237005983542632</v>
      </c>
    </row>
    <row r="111" spans="1:5" x14ac:dyDescent="0.35">
      <c r="A111" s="16">
        <v>99</v>
      </c>
      <c r="B111" s="17">
        <f t="shared" si="7"/>
        <v>1.0407180892488694E+16</v>
      </c>
      <c r="C111" s="17">
        <f t="shared" si="8"/>
        <v>22908459</v>
      </c>
      <c r="D111" s="17">
        <f t="shared" si="9"/>
        <v>4.2670330191665627E-2</v>
      </c>
      <c r="E111" s="18">
        <f t="shared" si="10"/>
        <v>0.49162868423149197</v>
      </c>
    </row>
    <row r="112" spans="1:5" x14ac:dyDescent="0.35">
      <c r="A112" s="16">
        <v>100</v>
      </c>
      <c r="B112" s="17">
        <f t="shared" si="7"/>
        <v>967722317685571</v>
      </c>
      <c r="C112" s="17">
        <f t="shared" si="8"/>
        <v>152577118</v>
      </c>
      <c r="D112" s="17">
        <f t="shared" si="9"/>
        <v>0.28419702978505579</v>
      </c>
      <c r="E112" s="18">
        <f t="shared" si="10"/>
        <v>3.7694513095247721</v>
      </c>
    </row>
    <row r="113" spans="1:5" x14ac:dyDescent="0.35">
      <c r="A113" s="16">
        <v>101</v>
      </c>
      <c r="B113" s="17">
        <f t="shared" si="7"/>
        <v>6445316906177820</v>
      </c>
      <c r="C113" s="17">
        <f t="shared" si="8"/>
        <v>157254902</v>
      </c>
      <c r="D113" s="17">
        <f t="shared" si="9"/>
        <v>0.29291008149426462</v>
      </c>
      <c r="E113" s="18">
        <f t="shared" si="10"/>
        <v>3.9075246673757587</v>
      </c>
    </row>
    <row r="114" spans="1:5" x14ac:dyDescent="0.35">
      <c r="A114" s="16">
        <v>102</v>
      </c>
      <c r="B114" s="17">
        <f t="shared" si="7"/>
        <v>6642920587145444</v>
      </c>
      <c r="C114" s="17">
        <f t="shared" si="8"/>
        <v>446365311</v>
      </c>
      <c r="D114" s="17">
        <f t="shared" si="9"/>
        <v>0.83142018441639909</v>
      </c>
      <c r="E114" s="18">
        <f t="shared" si="10"/>
        <v>20.071544062608375</v>
      </c>
    </row>
    <row r="115" spans="1:5" x14ac:dyDescent="0.35">
      <c r="A115" s="16">
        <v>103</v>
      </c>
      <c r="B115" s="17">
        <f t="shared" si="7"/>
        <v>1.8855814774746944E+16</v>
      </c>
      <c r="C115" s="17">
        <f t="shared" si="8"/>
        <v>531716443</v>
      </c>
      <c r="D115" s="17">
        <f t="shared" si="9"/>
        <v>0.99039905700981268</v>
      </c>
      <c r="E115" s="18">
        <f t="shared" si="10"/>
        <v>52.377609438420542</v>
      </c>
    </row>
    <row r="116" spans="1:5" x14ac:dyDescent="0.35">
      <c r="A116" s="16">
        <v>104</v>
      </c>
      <c r="B116" s="17">
        <f t="shared" si="7"/>
        <v>2.2461303582685392E+16</v>
      </c>
      <c r="C116" s="17">
        <f t="shared" si="8"/>
        <v>129719374</v>
      </c>
      <c r="D116" s="17">
        <f t="shared" si="9"/>
        <v>0.24162116364248531</v>
      </c>
      <c r="E116" s="18">
        <f t="shared" si="10"/>
        <v>3.1180635183475958</v>
      </c>
    </row>
    <row r="117" spans="1:5" x14ac:dyDescent="0.35">
      <c r="A117" s="16">
        <v>105</v>
      </c>
      <c r="B117" s="17">
        <f t="shared" si="7"/>
        <v>5479736974950636</v>
      </c>
      <c r="C117" s="17">
        <f t="shared" si="8"/>
        <v>276201281</v>
      </c>
      <c r="D117" s="17">
        <f t="shared" si="9"/>
        <v>0.51446497818255787</v>
      </c>
      <c r="E117" s="18">
        <f t="shared" si="10"/>
        <v>8.1454775455027626</v>
      </c>
    </row>
    <row r="118" spans="1:5" x14ac:dyDescent="0.35">
      <c r="A118" s="16">
        <v>106</v>
      </c>
      <c r="B118" s="17">
        <f t="shared" si="7"/>
        <v>1.1667573783652614E+16</v>
      </c>
      <c r="C118" s="17">
        <f t="shared" si="8"/>
        <v>403670475</v>
      </c>
      <c r="D118" s="17">
        <f t="shared" si="9"/>
        <v>0.75189485494753294</v>
      </c>
      <c r="E118" s="18">
        <f t="shared" si="10"/>
        <v>15.714798767554992</v>
      </c>
    </row>
    <row r="119" spans="1:5" x14ac:dyDescent="0.35">
      <c r="A119" s="16">
        <v>107</v>
      </c>
      <c r="B119" s="17">
        <f t="shared" si="7"/>
        <v>1.7052256347955746E+16</v>
      </c>
      <c r="C119" s="17">
        <f t="shared" si="8"/>
        <v>337758624</v>
      </c>
      <c r="D119" s="17">
        <f t="shared" si="9"/>
        <v>0.62912446494819396</v>
      </c>
      <c r="E119" s="18">
        <f t="shared" si="10"/>
        <v>11.182511360743622</v>
      </c>
    </row>
    <row r="120" spans="1:5" x14ac:dyDescent="0.35">
      <c r="A120" s="16">
        <v>108</v>
      </c>
      <c r="B120" s="17">
        <f t="shared" si="7"/>
        <v>1.4267941301132386E+16</v>
      </c>
      <c r="C120" s="17">
        <f t="shared" si="8"/>
        <v>377725265</v>
      </c>
      <c r="D120" s="17">
        <f t="shared" si="9"/>
        <v>0.70356813521522332</v>
      </c>
      <c r="E120" s="18">
        <f t="shared" si="10"/>
        <v>13.708431627024236</v>
      </c>
    </row>
    <row r="121" spans="1:5" x14ac:dyDescent="0.35">
      <c r="A121" s="16">
        <v>109</v>
      </c>
      <c r="B121" s="17">
        <f t="shared" si="7"/>
        <v>1.5956252556528438E+16</v>
      </c>
      <c r="C121" s="17">
        <f t="shared" si="8"/>
        <v>257526842</v>
      </c>
      <c r="D121" s="17">
        <f t="shared" si="9"/>
        <v>0.47968112483501851</v>
      </c>
      <c r="E121" s="18">
        <f t="shared" si="10"/>
        <v>7.3654276649267425</v>
      </c>
    </row>
    <row r="122" spans="1:5" x14ac:dyDescent="0.35">
      <c r="A122" s="16">
        <v>110</v>
      </c>
      <c r="B122" s="17">
        <f t="shared" si="7"/>
        <v>1.0878709251556784E+16</v>
      </c>
      <c r="C122" s="17">
        <f t="shared" si="8"/>
        <v>29554359</v>
      </c>
      <c r="D122" s="17">
        <f t="shared" si="9"/>
        <v>5.504928363505484E-2</v>
      </c>
      <c r="E122" s="18">
        <f t="shared" si="10"/>
        <v>0.6383596938345415</v>
      </c>
    </row>
    <row r="123" spans="1:5" x14ac:dyDescent="0.35">
      <c r="A123" s="16">
        <v>111</v>
      </c>
      <c r="B123" s="17">
        <f t="shared" si="7"/>
        <v>1248465144490471</v>
      </c>
      <c r="C123" s="17">
        <f t="shared" si="8"/>
        <v>295118254</v>
      </c>
      <c r="D123" s="17">
        <f t="shared" si="9"/>
        <v>0.54970058631040375</v>
      </c>
      <c r="E123" s="18">
        <f t="shared" si="10"/>
        <v>8.9948427702304148</v>
      </c>
    </row>
    <row r="124" spans="1:5" x14ac:dyDescent="0.35">
      <c r="A124" s="16">
        <v>112</v>
      </c>
      <c r="B124" s="17">
        <f t="shared" si="7"/>
        <v>1.2466683682178316E+16</v>
      </c>
      <c r="C124" s="17">
        <f t="shared" si="8"/>
        <v>499750939</v>
      </c>
      <c r="D124" s="17">
        <f t="shared" si="9"/>
        <v>0.93085866581968468</v>
      </c>
      <c r="E124" s="18">
        <f t="shared" si="10"/>
        <v>30.119532670587994</v>
      </c>
    </row>
    <row r="125" spans="1:5" x14ac:dyDescent="0.35">
      <c r="A125" s="16">
        <v>113</v>
      </c>
      <c r="B125" s="17">
        <f t="shared" si="7"/>
        <v>2.1110984445592848E+16</v>
      </c>
      <c r="C125" s="17">
        <f t="shared" si="8"/>
        <v>454363056</v>
      </c>
      <c r="D125" s="17">
        <f t="shared" si="9"/>
        <v>0.84631714540093073</v>
      </c>
      <c r="E125" s="18">
        <f t="shared" si="10"/>
        <v>21.114590594582261</v>
      </c>
    </row>
    <row r="126" spans="1:5" x14ac:dyDescent="0.35">
      <c r="A126" s="16">
        <v>114</v>
      </c>
      <c r="B126" s="17">
        <f t="shared" si="7"/>
        <v>1.9193663604757136E+16</v>
      </c>
      <c r="C126" s="17">
        <f t="shared" si="8"/>
        <v>255530712</v>
      </c>
      <c r="D126" s="17">
        <f t="shared" si="9"/>
        <v>0.4759630429594332</v>
      </c>
      <c r="E126" s="18">
        <f t="shared" si="10"/>
        <v>7.2851529700648854</v>
      </c>
    </row>
    <row r="127" spans="1:5" x14ac:dyDescent="0.35">
      <c r="A127" s="16">
        <v>115</v>
      </c>
      <c r="B127" s="17">
        <f t="shared" si="7"/>
        <v>1.0794386710009354E+16</v>
      </c>
      <c r="C127" s="17">
        <f t="shared" si="8"/>
        <v>43901322</v>
      </c>
      <c r="D127" s="17">
        <f t="shared" si="9"/>
        <v>8.1772584772752913E-2</v>
      </c>
      <c r="E127" s="18">
        <f t="shared" si="10"/>
        <v>0.96178342768539171</v>
      </c>
    </row>
    <row r="128" spans="1:5" x14ac:dyDescent="0.35">
      <c r="A128" s="16">
        <v>116</v>
      </c>
      <c r="B128" s="17">
        <f t="shared" si="7"/>
        <v>1854524060316064</v>
      </c>
      <c r="C128" s="17">
        <f t="shared" si="8"/>
        <v>135030544</v>
      </c>
      <c r="D128" s="17">
        <f t="shared" si="9"/>
        <v>0.25151398871657993</v>
      </c>
      <c r="E128" s="18">
        <f t="shared" si="10"/>
        <v>3.2660965535197555</v>
      </c>
    </row>
    <row r="129" spans="1:5" x14ac:dyDescent="0.35">
      <c r="A129" s="16">
        <v>117</v>
      </c>
      <c r="B129" s="17">
        <f t="shared" si="7"/>
        <v>5704096787683506</v>
      </c>
      <c r="C129" s="17">
        <f t="shared" si="8"/>
        <v>124614518</v>
      </c>
      <c r="D129" s="17">
        <f t="shared" si="9"/>
        <v>0.23211262834114071</v>
      </c>
      <c r="E129" s="18">
        <f t="shared" si="10"/>
        <v>2.9775897189933018</v>
      </c>
    </row>
    <row r="130" spans="1:5" x14ac:dyDescent="0.35">
      <c r="A130" s="16">
        <v>118</v>
      </c>
      <c r="B130" s="17">
        <f t="shared" si="7"/>
        <v>5264092486789220</v>
      </c>
      <c r="C130" s="17">
        <f t="shared" si="8"/>
        <v>189990324</v>
      </c>
      <c r="D130" s="17">
        <f t="shared" si="9"/>
        <v>0.35388455671774061</v>
      </c>
      <c r="E130" s="18">
        <f t="shared" si="10"/>
        <v>4.9242061600229023</v>
      </c>
    </row>
    <row r="131" spans="1:5" x14ac:dyDescent="0.35">
      <c r="A131" s="16">
        <v>119</v>
      </c>
      <c r="B131" s="17">
        <f t="shared" si="7"/>
        <v>8025763378781086</v>
      </c>
      <c r="C131" s="17">
        <f t="shared" si="8"/>
        <v>136476347</v>
      </c>
      <c r="D131" s="17">
        <f t="shared" si="9"/>
        <v>0.25420700667130575</v>
      </c>
      <c r="E131" s="18">
        <f t="shared" si="10"/>
        <v>3.306732876223871</v>
      </c>
    </row>
    <row r="132" spans="1:5" x14ac:dyDescent="0.35">
      <c r="A132" s="16">
        <v>120</v>
      </c>
      <c r="B132" s="17">
        <f t="shared" si="7"/>
        <v>5765171859716339</v>
      </c>
      <c r="C132" s="17">
        <f t="shared" si="8"/>
        <v>224941080</v>
      </c>
      <c r="D132" s="17">
        <f t="shared" si="9"/>
        <v>0.41898541308561493</v>
      </c>
      <c r="E132" s="18">
        <f t="shared" si="10"/>
        <v>6.1215266728318358</v>
      </c>
    </row>
    <row r="133" spans="1:5" x14ac:dyDescent="0.35">
      <c r="A133" s="16">
        <v>121</v>
      </c>
      <c r="B133" s="17">
        <f t="shared" si="7"/>
        <v>9502188548947402</v>
      </c>
      <c r="C133" s="17">
        <f t="shared" si="8"/>
        <v>236621647</v>
      </c>
      <c r="D133" s="17">
        <f t="shared" si="9"/>
        <v>0.44074216462948235</v>
      </c>
      <c r="E133" s="18">
        <f t="shared" si="10"/>
        <v>6.5518000925920896</v>
      </c>
    </row>
    <row r="134" spans="1:5" x14ac:dyDescent="0.35">
      <c r="A134" s="16">
        <v>122</v>
      </c>
      <c r="B134" s="17">
        <f t="shared" si="7"/>
        <v>9995610869214638</v>
      </c>
      <c r="C134" s="17">
        <f t="shared" si="8"/>
        <v>71845202</v>
      </c>
      <c r="D134" s="17">
        <f t="shared" si="9"/>
        <v>0.1338221174993445</v>
      </c>
      <c r="E134" s="18">
        <f t="shared" si="10"/>
        <v>1.619672880137583</v>
      </c>
    </row>
    <row r="135" spans="1:5" x14ac:dyDescent="0.35">
      <c r="A135" s="16">
        <v>123</v>
      </c>
      <c r="B135" s="17">
        <f t="shared" si="7"/>
        <v>3034957690538744</v>
      </c>
      <c r="C135" s="17">
        <f t="shared" si="8"/>
        <v>123981105</v>
      </c>
      <c r="D135" s="17">
        <f t="shared" si="9"/>
        <v>0.23093280468483568</v>
      </c>
      <c r="E135" s="18">
        <f t="shared" si="10"/>
        <v>2.9602810954922543</v>
      </c>
    </row>
    <row r="136" spans="1:5" x14ac:dyDescent="0.35">
      <c r="A136" s="16">
        <v>124</v>
      </c>
      <c r="B136" s="17">
        <f t="shared" si="7"/>
        <v>5237335214462677</v>
      </c>
      <c r="C136" s="17">
        <f t="shared" si="8"/>
        <v>26997110</v>
      </c>
      <c r="D136" s="17">
        <f t="shared" si="9"/>
        <v>5.0286036172084644E-2</v>
      </c>
      <c r="E136" s="18">
        <f t="shared" si="10"/>
        <v>0.58167339833050336</v>
      </c>
    </row>
    <row r="137" spans="1:5" x14ac:dyDescent="0.35">
      <c r="A137" s="16">
        <v>125</v>
      </c>
      <c r="B137" s="17">
        <f t="shared" si="7"/>
        <v>1140439246853732</v>
      </c>
      <c r="C137" s="17">
        <f t="shared" si="8"/>
        <v>340967469</v>
      </c>
      <c r="D137" s="17">
        <f t="shared" si="9"/>
        <v>0.63510140454434383</v>
      </c>
      <c r="E137" s="18">
        <f t="shared" si="10"/>
        <v>11.365679646768797</v>
      </c>
    </row>
    <row r="138" spans="1:5" x14ac:dyDescent="0.35">
      <c r="A138" s="16">
        <v>126</v>
      </c>
      <c r="B138" s="17">
        <f t="shared" si="7"/>
        <v>1.4403492575764682E+16</v>
      </c>
      <c r="C138" s="17">
        <f t="shared" si="8"/>
        <v>337264637</v>
      </c>
      <c r="D138" s="17">
        <f t="shared" si="9"/>
        <v>0.62820434245543311</v>
      </c>
      <c r="E138" s="18">
        <f t="shared" si="10"/>
        <v>11.154575911044185</v>
      </c>
    </row>
    <row r="139" spans="1:5" x14ac:dyDescent="0.35">
      <c r="A139" s="16">
        <v>127</v>
      </c>
      <c r="B139" s="17">
        <f t="shared" si="7"/>
        <v>1.424707380285753E+16</v>
      </c>
      <c r="C139" s="17">
        <f t="shared" si="8"/>
        <v>514890068</v>
      </c>
      <c r="D139" s="17">
        <f t="shared" si="9"/>
        <v>0.95905749112016514</v>
      </c>
      <c r="E139" s="18">
        <f t="shared" si="10"/>
        <v>36.026904382804609</v>
      </c>
    </row>
    <row r="140" spans="1:5" x14ac:dyDescent="0.35">
      <c r="A140" s="16">
        <v>128</v>
      </c>
      <c r="B140" s="17">
        <f t="shared" si="7"/>
        <v>2.1750506838470272E+16</v>
      </c>
      <c r="C140" s="17">
        <f t="shared" si="8"/>
        <v>70573636</v>
      </c>
      <c r="D140" s="17">
        <f t="shared" si="9"/>
        <v>0.13145364124869421</v>
      </c>
      <c r="E140" s="18">
        <f t="shared" si="10"/>
        <v>1.5888874495325449</v>
      </c>
    </row>
    <row r="141" spans="1:5" x14ac:dyDescent="0.35">
      <c r="A141" s="16">
        <v>129</v>
      </c>
      <c r="B141" s="17">
        <f t="shared" si="7"/>
        <v>2981242914013518</v>
      </c>
      <c r="C141" s="17">
        <f t="shared" si="8"/>
        <v>355843251</v>
      </c>
      <c r="D141" s="17">
        <f t="shared" si="9"/>
        <v>0.66280970783088244</v>
      </c>
      <c r="E141" s="18">
        <f t="shared" si="10"/>
        <v>12.256007246932532</v>
      </c>
    </row>
    <row r="142" spans="1:5" x14ac:dyDescent="0.35">
      <c r="A142" s="16">
        <v>130</v>
      </c>
      <c r="B142" s="17">
        <f t="shared" ref="B142:B205" si="11">$B$2*C141+$B$3</f>
        <v>1.5031890398424282E+16</v>
      </c>
      <c r="C142" s="17">
        <f t="shared" ref="C142:C205" si="12">MOD(B142,$B$4)</f>
        <v>422275135</v>
      </c>
      <c r="D142" s="17">
        <f t="shared" ref="D142:D205" si="13">C142/($B$4-1)</f>
        <v>0.78654873477871989</v>
      </c>
      <c r="E142" s="18">
        <f t="shared" ref="E142:E205" si="14">(-1/$B$6) * LN(1-D142)</f>
        <v>17.410898966319902</v>
      </c>
    </row>
    <row r="143" spans="1:5" x14ac:dyDescent="0.35">
      <c r="A143" s="16">
        <v>131</v>
      </c>
      <c r="B143" s="17">
        <f t="shared" si="11"/>
        <v>1.7838173204987006E+16</v>
      </c>
      <c r="C143" s="17">
        <f t="shared" si="12"/>
        <v>458111560</v>
      </c>
      <c r="D143" s="17">
        <f t="shared" si="13"/>
        <v>0.85329927821941409</v>
      </c>
      <c r="E143" s="18">
        <f t="shared" si="14"/>
        <v>21.638790008255295</v>
      </c>
    </row>
    <row r="144" spans="1:5" x14ac:dyDescent="0.35">
      <c r="A144" s="16">
        <v>132</v>
      </c>
      <c r="B144" s="17">
        <f t="shared" si="11"/>
        <v>1.935201170046268E+16</v>
      </c>
      <c r="C144" s="17">
        <f t="shared" si="12"/>
        <v>423520450</v>
      </c>
      <c r="D144" s="17">
        <f t="shared" si="13"/>
        <v>0.78886831473137553</v>
      </c>
      <c r="E144" s="18">
        <f t="shared" si="14"/>
        <v>17.534083871215497</v>
      </c>
    </row>
    <row r="145" spans="1:5" x14ac:dyDescent="0.35">
      <c r="A145" s="16">
        <v>133</v>
      </c>
      <c r="B145" s="17">
        <f t="shared" si="11"/>
        <v>1.7890779060230472E+16</v>
      </c>
      <c r="C145" s="17">
        <f t="shared" si="12"/>
        <v>480269780</v>
      </c>
      <c r="D145" s="17">
        <f t="shared" si="13"/>
        <v>0.89457217937175992</v>
      </c>
      <c r="E145" s="18">
        <f t="shared" si="14"/>
        <v>25.363345263525282</v>
      </c>
    </row>
    <row r="146" spans="1:5" x14ac:dyDescent="0.35">
      <c r="A146" s="16">
        <v>134</v>
      </c>
      <c r="B146" s="17">
        <f t="shared" si="11"/>
        <v>2.0288041631663104E+16</v>
      </c>
      <c r="C146" s="17">
        <f t="shared" si="12"/>
        <v>216359662</v>
      </c>
      <c r="D146" s="17">
        <f t="shared" si="13"/>
        <v>0.40300127641484618</v>
      </c>
      <c r="E146" s="18">
        <f t="shared" si="14"/>
        <v>5.8155614841052889</v>
      </c>
    </row>
    <row r="147" spans="1:5" x14ac:dyDescent="0.35">
      <c r="A147" s="16">
        <v>135</v>
      </c>
      <c r="B147" s="17">
        <f t="shared" si="11"/>
        <v>9139683613977804</v>
      </c>
      <c r="C147" s="17">
        <f t="shared" si="12"/>
        <v>204435647</v>
      </c>
      <c r="D147" s="17">
        <f t="shared" si="13"/>
        <v>0.38079106763299952</v>
      </c>
      <c r="E147" s="18">
        <f t="shared" si="14"/>
        <v>5.4037489419770912</v>
      </c>
    </row>
    <row r="148" spans="1:5" x14ac:dyDescent="0.35">
      <c r="A148" s="16">
        <v>136</v>
      </c>
      <c r="B148" s="17">
        <f t="shared" si="11"/>
        <v>8635977317168639</v>
      </c>
      <c r="C148" s="17">
        <f t="shared" si="12"/>
        <v>154970368</v>
      </c>
      <c r="D148" s="17">
        <f t="shared" si="13"/>
        <v>0.28865480530505927</v>
      </c>
      <c r="E148" s="18">
        <f t="shared" si="14"/>
        <v>3.8398811848781862</v>
      </c>
    </row>
    <row r="149" spans="1:5" x14ac:dyDescent="0.35">
      <c r="A149" s="16">
        <v>137</v>
      </c>
      <c r="B149" s="17">
        <f t="shared" si="11"/>
        <v>6546414992253570</v>
      </c>
      <c r="C149" s="17">
        <f t="shared" si="12"/>
        <v>82080242</v>
      </c>
      <c r="D149" s="17">
        <f t="shared" si="13"/>
        <v>0.15288636517854917</v>
      </c>
      <c r="E149" s="18">
        <f t="shared" si="14"/>
        <v>1.8705798398240698</v>
      </c>
    </row>
    <row r="150" spans="1:5" x14ac:dyDescent="0.35">
      <c r="A150" s="16">
        <v>138</v>
      </c>
      <c r="B150" s="17">
        <f t="shared" si="11"/>
        <v>3467316597844184</v>
      </c>
      <c r="C150" s="17">
        <f t="shared" si="12"/>
        <v>243660004</v>
      </c>
      <c r="D150" s="17">
        <f t="shared" si="13"/>
        <v>0.45385212620292653</v>
      </c>
      <c r="E150" s="18">
        <f t="shared" si="14"/>
        <v>6.819227832865737</v>
      </c>
    </row>
    <row r="151" spans="1:5" x14ac:dyDescent="0.35">
      <c r="A151" s="16">
        <v>139</v>
      </c>
      <c r="B151" s="17">
        <f t="shared" si="11"/>
        <v>1.0292932261387566E+16</v>
      </c>
      <c r="C151" s="17">
        <f t="shared" si="12"/>
        <v>206022686</v>
      </c>
      <c r="D151" s="17">
        <f t="shared" si="13"/>
        <v>0.38374715813900218</v>
      </c>
      <c r="E151" s="18">
        <f t="shared" si="14"/>
        <v>5.457699459940538</v>
      </c>
    </row>
    <row r="152" spans="1:5" x14ac:dyDescent="0.35">
      <c r="A152" s="16">
        <v>140</v>
      </c>
      <c r="B152" s="17">
        <f t="shared" si="11"/>
        <v>8703018623103068</v>
      </c>
      <c r="C152" s="17">
        <f t="shared" si="12"/>
        <v>242764583</v>
      </c>
      <c r="D152" s="17">
        <f t="shared" si="13"/>
        <v>0.45218427461454375</v>
      </c>
      <c r="E152" s="18">
        <f t="shared" si="14"/>
        <v>6.7848513656089962</v>
      </c>
    </row>
    <row r="153" spans="1:5" x14ac:dyDescent="0.35">
      <c r="A153" s="16">
        <v>141</v>
      </c>
      <c r="B153" s="17">
        <f t="shared" si="11"/>
        <v>1.0255106982234934E+16</v>
      </c>
      <c r="C153" s="17">
        <f t="shared" si="12"/>
        <v>166904559</v>
      </c>
      <c r="D153" s="17">
        <f t="shared" si="13"/>
        <v>0.31088396836401511</v>
      </c>
      <c r="E153" s="18">
        <f t="shared" si="14"/>
        <v>4.19780852637441</v>
      </c>
    </row>
    <row r="154" spans="1:5" x14ac:dyDescent="0.35">
      <c r="A154" s="16">
        <v>142</v>
      </c>
      <c r="B154" s="17">
        <f t="shared" si="11"/>
        <v>7050551153942671</v>
      </c>
      <c r="C154" s="17">
        <f t="shared" si="12"/>
        <v>499696657</v>
      </c>
      <c r="D154" s="17">
        <f t="shared" si="13"/>
        <v>0.93075755771531743</v>
      </c>
      <c r="E154" s="18">
        <f t="shared" si="14"/>
        <v>30.103058360245939</v>
      </c>
    </row>
    <row r="155" spans="1:5" x14ac:dyDescent="0.35">
      <c r="A155" s="16">
        <v>143</v>
      </c>
      <c r="B155" s="17">
        <f t="shared" si="11"/>
        <v>2.1108691410469752E+16</v>
      </c>
      <c r="C155" s="17">
        <f t="shared" si="12"/>
        <v>394900841</v>
      </c>
      <c r="D155" s="17">
        <f t="shared" si="13"/>
        <v>0.73556013865605052</v>
      </c>
      <c r="E155" s="18">
        <f t="shared" si="14"/>
        <v>14.995957394084694</v>
      </c>
    </row>
    <row r="156" spans="1:5" x14ac:dyDescent="0.35">
      <c r="A156" s="16">
        <v>144</v>
      </c>
      <c r="B156" s="17">
        <f t="shared" si="11"/>
        <v>1.6681800602427774E+16</v>
      </c>
      <c r="C156" s="17">
        <f t="shared" si="12"/>
        <v>16335249</v>
      </c>
      <c r="D156" s="17">
        <f t="shared" si="13"/>
        <v>3.0426772424678401E-2</v>
      </c>
      <c r="E156" s="18">
        <f t="shared" si="14"/>
        <v>0.34835711242877665</v>
      </c>
    </row>
    <row r="157" spans="1:5" x14ac:dyDescent="0.35">
      <c r="A157" s="16">
        <v>145</v>
      </c>
      <c r="B157" s="17">
        <f t="shared" si="11"/>
        <v>690050135350261</v>
      </c>
      <c r="C157" s="17">
        <f t="shared" si="12"/>
        <v>289765563</v>
      </c>
      <c r="D157" s="17">
        <f t="shared" si="13"/>
        <v>0.53973042234677981</v>
      </c>
      <c r="E157" s="18">
        <f t="shared" si="14"/>
        <v>8.7479472691754196</v>
      </c>
    </row>
    <row r="158" spans="1:5" x14ac:dyDescent="0.35">
      <c r="A158" s="16">
        <v>146</v>
      </c>
      <c r="B158" s="17">
        <f t="shared" si="11"/>
        <v>1.2240569897385714E+16</v>
      </c>
      <c r="C158" s="17">
        <f t="shared" si="12"/>
        <v>99673296</v>
      </c>
      <c r="D158" s="17">
        <f t="shared" si="13"/>
        <v>0.18565598199388378</v>
      </c>
      <c r="E158" s="18">
        <f t="shared" si="14"/>
        <v>2.3153593654780118</v>
      </c>
    </row>
    <row r="159" spans="1:5" x14ac:dyDescent="0.35">
      <c r="A159" s="16">
        <v>147</v>
      </c>
      <c r="B159" s="17">
        <f t="shared" si="11"/>
        <v>4210500171489778</v>
      </c>
      <c r="C159" s="17">
        <f t="shared" si="12"/>
        <v>394530141</v>
      </c>
      <c r="D159" s="17">
        <f t="shared" si="13"/>
        <v>0.73486965609665833</v>
      </c>
      <c r="E159" s="18">
        <f t="shared" si="14"/>
        <v>14.966558175141612</v>
      </c>
    </row>
    <row r="160" spans="1:5" x14ac:dyDescent="0.35">
      <c r="A160" s="16">
        <v>148</v>
      </c>
      <c r="B160" s="17">
        <f t="shared" si="11"/>
        <v>1.6666141118250074E+16</v>
      </c>
      <c r="C160" s="17">
        <f t="shared" si="12"/>
        <v>519760508</v>
      </c>
      <c r="D160" s="17">
        <f t="shared" si="13"/>
        <v>0.96812939259458108</v>
      </c>
      <c r="E160" s="18">
        <f t="shared" si="14"/>
        <v>38.850857856692301</v>
      </c>
    </row>
    <row r="161" spans="1:5" x14ac:dyDescent="0.35">
      <c r="A161" s="16">
        <v>149</v>
      </c>
      <c r="B161" s="17">
        <f t="shared" si="11"/>
        <v>2.1956248888965112E+16</v>
      </c>
      <c r="C161" s="17">
        <f t="shared" si="12"/>
        <v>303071412</v>
      </c>
      <c r="D161" s="17">
        <f t="shared" si="13"/>
        <v>0.56451449753535721</v>
      </c>
      <c r="E161" s="18">
        <f t="shared" si="14"/>
        <v>9.3719703793403539</v>
      </c>
    </row>
    <row r="162" spans="1:5" x14ac:dyDescent="0.35">
      <c r="A162" s="16">
        <v>150</v>
      </c>
      <c r="B162" s="17">
        <f t="shared" si="11"/>
        <v>1.2802649023057054E+16</v>
      </c>
      <c r="C162" s="17">
        <f t="shared" si="12"/>
        <v>77589542</v>
      </c>
      <c r="D162" s="17">
        <f t="shared" si="13"/>
        <v>0.14452178457573722</v>
      </c>
      <c r="E162" s="18">
        <f t="shared" si="14"/>
        <v>1.7598043981819951</v>
      </c>
    </row>
    <row r="163" spans="1:5" x14ac:dyDescent="0.35">
      <c r="A163" s="16">
        <v>151</v>
      </c>
      <c r="B163" s="17">
        <f t="shared" si="11"/>
        <v>3277615908346484</v>
      </c>
      <c r="C163" s="17">
        <f t="shared" si="12"/>
        <v>206209599</v>
      </c>
      <c r="D163" s="17">
        <f t="shared" si="13"/>
        <v>0.38409531073307734</v>
      </c>
      <c r="E163" s="18">
        <f t="shared" si="14"/>
        <v>5.4640704919485117</v>
      </c>
    </row>
    <row r="164" spans="1:5" x14ac:dyDescent="0.35">
      <c r="A164" s="16">
        <v>152</v>
      </c>
      <c r="B164" s="17">
        <f t="shared" si="11"/>
        <v>8710914391018111</v>
      </c>
      <c r="C164" s="17">
        <f t="shared" si="12"/>
        <v>250191549</v>
      </c>
      <c r="D164" s="17">
        <f t="shared" si="13"/>
        <v>0.46601807685948193</v>
      </c>
      <c r="E164" s="18">
        <f t="shared" si="14"/>
        <v>7.0732051002447554</v>
      </c>
    </row>
    <row r="165" spans="1:5" x14ac:dyDescent="0.35">
      <c r="A165" s="16">
        <v>153</v>
      </c>
      <c r="B165" s="17">
        <f t="shared" si="11"/>
        <v>1.0568844388669562E+16</v>
      </c>
      <c r="C165" s="17">
        <f t="shared" si="12"/>
        <v>413498096</v>
      </c>
      <c r="D165" s="17">
        <f t="shared" si="13"/>
        <v>0.77020022559985601</v>
      </c>
      <c r="E165" s="18">
        <f t="shared" si="14"/>
        <v>16.578882697751688</v>
      </c>
    </row>
    <row r="166" spans="1:5" x14ac:dyDescent="0.35">
      <c r="A166" s="16">
        <v>154</v>
      </c>
      <c r="B166" s="17">
        <f t="shared" si="11"/>
        <v>1.7467404649962578E+16</v>
      </c>
      <c r="C166" s="17">
        <f t="shared" si="12"/>
        <v>322932842</v>
      </c>
      <c r="D166" s="17">
        <f t="shared" si="13"/>
        <v>0.60150929391946384</v>
      </c>
      <c r="E166" s="18">
        <f t="shared" si="14"/>
        <v>10.372842201589169</v>
      </c>
    </row>
    <row r="167" spans="1:5" x14ac:dyDescent="0.35">
      <c r="A167" s="16">
        <v>155</v>
      </c>
      <c r="B167" s="17">
        <f t="shared" si="11"/>
        <v>1.3641655629022784E+16</v>
      </c>
      <c r="C167" s="17">
        <f t="shared" si="12"/>
        <v>393100891</v>
      </c>
      <c r="D167" s="17">
        <f t="shared" si="13"/>
        <v>0.73220747050720258</v>
      </c>
      <c r="E167" s="18">
        <f t="shared" si="14"/>
        <v>14.853920427946235</v>
      </c>
    </row>
    <row r="168" spans="1:5" x14ac:dyDescent="0.35">
      <c r="A168" s="16">
        <v>156</v>
      </c>
      <c r="B168" s="17">
        <f t="shared" si="11"/>
        <v>1.6605765294778322E+16</v>
      </c>
      <c r="C168" s="17">
        <f t="shared" si="12"/>
        <v>125197994</v>
      </c>
      <c r="D168" s="17">
        <f t="shared" si="13"/>
        <v>0.23319943708628207</v>
      </c>
      <c r="E168" s="18">
        <f t="shared" si="14"/>
        <v>2.9935573134532554</v>
      </c>
    </row>
    <row r="169" spans="1:5" x14ac:dyDescent="0.35">
      <c r="A169" s="16">
        <v>157</v>
      </c>
      <c r="B169" s="17">
        <f t="shared" si="11"/>
        <v>5288740269875456</v>
      </c>
      <c r="C169" s="17">
        <f t="shared" si="12"/>
        <v>229552550</v>
      </c>
      <c r="D169" s="17">
        <f t="shared" si="13"/>
        <v>0.42757494534393753</v>
      </c>
      <c r="E169" s="18">
        <f t="shared" si="14"/>
        <v>6.2894414996704313</v>
      </c>
    </row>
    <row r="170" spans="1:5" x14ac:dyDescent="0.35">
      <c r="A170" s="16">
        <v>158</v>
      </c>
      <c r="B170" s="17">
        <f t="shared" si="11"/>
        <v>9696990926883572</v>
      </c>
      <c r="C170" s="17">
        <f t="shared" si="12"/>
        <v>78243289</v>
      </c>
      <c r="D170" s="17">
        <f t="shared" si="13"/>
        <v>0.14573948325864777</v>
      </c>
      <c r="E170" s="18">
        <f t="shared" si="14"/>
        <v>1.7758633256035972</v>
      </c>
    </row>
    <row r="171" spans="1:5" x14ac:dyDescent="0.35">
      <c r="A171" s="16">
        <v>159</v>
      </c>
      <c r="B171" s="17">
        <f t="shared" si="11"/>
        <v>3305232150058701</v>
      </c>
      <c r="C171" s="17">
        <f t="shared" si="12"/>
        <v>345130887</v>
      </c>
      <c r="D171" s="17">
        <f t="shared" si="13"/>
        <v>0.64285637491515424</v>
      </c>
      <c r="E171" s="18">
        <f t="shared" si="14"/>
        <v>11.607860957676458</v>
      </c>
    </row>
    <row r="172" spans="1:5" x14ac:dyDescent="0.35">
      <c r="A172" s="16">
        <v>160</v>
      </c>
      <c r="B172" s="17">
        <f t="shared" si="11"/>
        <v>1.4579367888136278E+16</v>
      </c>
      <c r="C172" s="17">
        <f t="shared" si="12"/>
        <v>497289010</v>
      </c>
      <c r="D172" s="17">
        <f t="shared" si="13"/>
        <v>0.92627296569300055</v>
      </c>
      <c r="E172" s="18">
        <f t="shared" si="14"/>
        <v>29.395555033643078</v>
      </c>
    </row>
    <row r="173" spans="1:5" x14ac:dyDescent="0.35">
      <c r="A173" s="16">
        <v>161</v>
      </c>
      <c r="B173" s="17">
        <f t="shared" si="11"/>
        <v>2.1006985151764632E+16</v>
      </c>
      <c r="C173" s="17">
        <f t="shared" si="12"/>
        <v>35317383</v>
      </c>
      <c r="D173" s="17">
        <f t="shared" si="13"/>
        <v>6.5783752373545445E-2</v>
      </c>
      <c r="E173" s="18">
        <f t="shared" si="14"/>
        <v>0.76716278516236436</v>
      </c>
    </row>
    <row r="174" spans="1:5" x14ac:dyDescent="0.35">
      <c r="A174" s="16">
        <v>162</v>
      </c>
      <c r="B174" s="17">
        <f t="shared" si="11"/>
        <v>1491912630715735</v>
      </c>
      <c r="C174" s="17">
        <f t="shared" si="12"/>
        <v>445525102</v>
      </c>
      <c r="D174" s="17">
        <f t="shared" si="13"/>
        <v>0.82985517319237878</v>
      </c>
      <c r="E174" s="18">
        <f t="shared" si="14"/>
        <v>19.967365075693579</v>
      </c>
    </row>
    <row r="175" spans="1:5" x14ac:dyDescent="0.35">
      <c r="A175" s="16">
        <v>163</v>
      </c>
      <c r="B175" s="17">
        <f t="shared" si="11"/>
        <v>1.882032181671764E+16</v>
      </c>
      <c r="C175" s="17">
        <f t="shared" si="12"/>
        <v>109613349</v>
      </c>
      <c r="D175" s="17">
        <f t="shared" si="13"/>
        <v>0.20417077356640537</v>
      </c>
      <c r="E175" s="18">
        <f t="shared" si="14"/>
        <v>2.5746409899770724</v>
      </c>
    </row>
    <row r="176" spans="1:5" x14ac:dyDescent="0.35">
      <c r="A176" s="16">
        <v>164</v>
      </c>
      <c r="B176" s="17">
        <f t="shared" si="11"/>
        <v>4630397939709361</v>
      </c>
      <c r="C176" s="17">
        <f t="shared" si="12"/>
        <v>148967493</v>
      </c>
      <c r="D176" s="17">
        <f t="shared" si="13"/>
        <v>0.2774735792632162</v>
      </c>
      <c r="E176" s="18">
        <f t="shared" si="14"/>
        <v>3.6640506332620344</v>
      </c>
    </row>
    <row r="177" spans="1:5" x14ac:dyDescent="0.35">
      <c r="A177" s="16">
        <v>165</v>
      </c>
      <c r="B177" s="17">
        <f t="shared" si="11"/>
        <v>6292835477596945</v>
      </c>
      <c r="C177" s="17">
        <f t="shared" si="12"/>
        <v>267945336</v>
      </c>
      <c r="D177" s="17">
        <f t="shared" si="13"/>
        <v>0.49908708221870318</v>
      </c>
      <c r="E177" s="18">
        <f t="shared" si="14"/>
        <v>7.793945995591459</v>
      </c>
    </row>
    <row r="178" spans="1:5" x14ac:dyDescent="0.35">
      <c r="A178" s="16">
        <v>166</v>
      </c>
      <c r="B178" s="17">
        <f t="shared" si="11"/>
        <v>1.1318817808202218E+16</v>
      </c>
      <c r="C178" s="17">
        <f t="shared" si="12"/>
        <v>66972967</v>
      </c>
      <c r="D178" s="17">
        <f t="shared" si="13"/>
        <v>0.12474687257687328</v>
      </c>
      <c r="E178" s="18">
        <f t="shared" si="14"/>
        <v>1.5021662455106461</v>
      </c>
    </row>
    <row r="179" spans="1:5" x14ac:dyDescent="0.35">
      <c r="A179" s="16">
        <v>167</v>
      </c>
      <c r="B179" s="17">
        <f t="shared" si="11"/>
        <v>2829139813839159</v>
      </c>
      <c r="C179" s="17">
        <f t="shared" si="12"/>
        <v>300947946</v>
      </c>
      <c r="D179" s="17">
        <f t="shared" si="13"/>
        <v>0.56055923387616591</v>
      </c>
      <c r="E179" s="18">
        <f t="shared" si="14"/>
        <v>9.270037728747182</v>
      </c>
    </row>
    <row r="180" spans="1:5" x14ac:dyDescent="0.35">
      <c r="A180" s="16">
        <v>168</v>
      </c>
      <c r="B180" s="17">
        <f t="shared" si="11"/>
        <v>1.2712947425460928E+16</v>
      </c>
      <c r="C180" s="17">
        <f t="shared" si="12"/>
        <v>482416029</v>
      </c>
      <c r="D180" s="17">
        <f t="shared" si="13"/>
        <v>0.89856987967554436</v>
      </c>
      <c r="E180" s="18">
        <f t="shared" si="14"/>
        <v>25.799156564985285</v>
      </c>
    </row>
    <row r="181" spans="1:5" x14ac:dyDescent="0.35">
      <c r="A181" s="16">
        <v>169</v>
      </c>
      <c r="B181" s="17">
        <f t="shared" si="11"/>
        <v>2.037870565177884E+16</v>
      </c>
      <c r="C181" s="17">
        <f t="shared" si="12"/>
        <v>161380273</v>
      </c>
      <c r="D181" s="17">
        <f t="shared" si="13"/>
        <v>0.30059418380481817</v>
      </c>
      <c r="E181" s="18">
        <f t="shared" si="14"/>
        <v>4.0307118197203842</v>
      </c>
    </row>
    <row r="182" spans="1:5" x14ac:dyDescent="0.35">
      <c r="A182" s="16">
        <v>170</v>
      </c>
      <c r="B182" s="17">
        <f t="shared" si="11"/>
        <v>6817188679677525</v>
      </c>
      <c r="C182" s="17">
        <f t="shared" si="12"/>
        <v>241186792</v>
      </c>
      <c r="D182" s="17">
        <f t="shared" si="13"/>
        <v>0.44924540985094535</v>
      </c>
      <c r="E182" s="18">
        <f t="shared" si="14"/>
        <v>6.7245316682513891</v>
      </c>
    </row>
    <row r="183" spans="1:5" x14ac:dyDescent="0.35">
      <c r="A183" s="16">
        <v>171</v>
      </c>
      <c r="B183" s="17">
        <f t="shared" si="11"/>
        <v>1.0188456339666234E+16</v>
      </c>
      <c r="C183" s="17">
        <f t="shared" si="12"/>
        <v>437323776</v>
      </c>
      <c r="D183" s="17">
        <f t="shared" si="13"/>
        <v>0.81457901304430891</v>
      </c>
      <c r="E183" s="18">
        <f t="shared" si="14"/>
        <v>18.998043224420066</v>
      </c>
    </row>
    <row r="184" spans="1:5" x14ac:dyDescent="0.35">
      <c r="A184" s="16">
        <v>172</v>
      </c>
      <c r="B184" s="17">
        <f t="shared" si="11"/>
        <v>1.8473873112285056E+16</v>
      </c>
      <c r="C184" s="17">
        <f t="shared" si="12"/>
        <v>109629086</v>
      </c>
      <c r="D184" s="17">
        <f t="shared" si="13"/>
        <v>0.20420008601322803</v>
      </c>
      <c r="E184" s="18">
        <f t="shared" si="14"/>
        <v>2.5750562465985403</v>
      </c>
    </row>
    <row r="185" spans="1:5" x14ac:dyDescent="0.35">
      <c r="A185" s="16">
        <v>173</v>
      </c>
      <c r="B185" s="17">
        <f t="shared" si="11"/>
        <v>4631062717973468</v>
      </c>
      <c r="C185" s="17">
        <f t="shared" si="12"/>
        <v>281043782</v>
      </c>
      <c r="D185" s="17">
        <f t="shared" si="13"/>
        <v>0.5234848392139555</v>
      </c>
      <c r="E185" s="18">
        <f t="shared" si="14"/>
        <v>8.3568854501055938</v>
      </c>
    </row>
    <row r="186" spans="1:5" x14ac:dyDescent="0.35">
      <c r="A186" s="16">
        <v>174</v>
      </c>
      <c r="B186" s="17">
        <f t="shared" si="11"/>
        <v>1.1872135606663124E+16</v>
      </c>
      <c r="C186" s="17">
        <f t="shared" si="12"/>
        <v>450946299</v>
      </c>
      <c r="D186" s="17">
        <f t="shared" si="13"/>
        <v>0.83995293952507133</v>
      </c>
      <c r="E186" s="18">
        <f t="shared" si="14"/>
        <v>20.657129414060396</v>
      </c>
    </row>
    <row r="187" spans="1:5" x14ac:dyDescent="0.35">
      <c r="A187" s="16">
        <v>175</v>
      </c>
      <c r="B187" s="17">
        <f t="shared" si="11"/>
        <v>1.9049329501221808E+16</v>
      </c>
      <c r="C187" s="17">
        <f t="shared" si="12"/>
        <v>138321357</v>
      </c>
      <c r="D187" s="17">
        <f t="shared" si="13"/>
        <v>0.25764360561089072</v>
      </c>
      <c r="E187" s="18">
        <f t="shared" si="14"/>
        <v>3.3588031030577441</v>
      </c>
    </row>
    <row r="188" spans="1:5" x14ac:dyDescent="0.35">
      <c r="A188" s="16">
        <v>176</v>
      </c>
      <c r="B188" s="17">
        <f t="shared" si="11"/>
        <v>5843110637441449</v>
      </c>
      <c r="C188" s="17">
        <f t="shared" si="12"/>
        <v>378774498</v>
      </c>
      <c r="D188" s="17">
        <f t="shared" si="13"/>
        <v>0.70552248398036688</v>
      </c>
      <c r="E188" s="18">
        <f t="shared" si="14"/>
        <v>13.783005919820754</v>
      </c>
    </row>
    <row r="189" spans="1:5" x14ac:dyDescent="0.35">
      <c r="A189" s="16">
        <v>177</v>
      </c>
      <c r="B189" s="17">
        <f t="shared" si="11"/>
        <v>1.6000575317689E+16</v>
      </c>
      <c r="C189" s="17">
        <f t="shared" si="12"/>
        <v>30017066</v>
      </c>
      <c r="D189" s="17">
        <f t="shared" si="13"/>
        <v>5.5911142587330723E-2</v>
      </c>
      <c r="E189" s="18">
        <f t="shared" si="14"/>
        <v>0.64864699719662644</v>
      </c>
    </row>
    <row r="190" spans="1:5" x14ac:dyDescent="0.35">
      <c r="A190" s="16">
        <v>178</v>
      </c>
      <c r="B190" s="17">
        <f t="shared" si="11"/>
        <v>1268011281381248</v>
      </c>
      <c r="C190" s="17">
        <f t="shared" si="12"/>
        <v>35881343</v>
      </c>
      <c r="D190" s="17">
        <f t="shared" si="13"/>
        <v>6.6834209735818995E-2</v>
      </c>
      <c r="E190" s="18">
        <f t="shared" si="14"/>
        <v>0.77984665199675296</v>
      </c>
    </row>
    <row r="191" spans="1:5" x14ac:dyDescent="0.35">
      <c r="A191" s="16">
        <v>179</v>
      </c>
      <c r="B191" s="17">
        <f t="shared" si="11"/>
        <v>1515735999199295</v>
      </c>
      <c r="C191" s="17">
        <f t="shared" si="12"/>
        <v>167333037</v>
      </c>
      <c r="D191" s="17">
        <f t="shared" si="13"/>
        <v>0.31168207083524047</v>
      </c>
      <c r="E191" s="18">
        <f t="shared" si="14"/>
        <v>4.2108730715098206</v>
      </c>
    </row>
    <row r="192" spans="1:5" x14ac:dyDescent="0.35">
      <c r="A192" s="16">
        <v>180</v>
      </c>
      <c r="B192" s="17">
        <f t="shared" si="11"/>
        <v>7068651354809929</v>
      </c>
      <c r="C192" s="17">
        <f t="shared" si="12"/>
        <v>97799550</v>
      </c>
      <c r="D192" s="17">
        <f t="shared" si="13"/>
        <v>0.18216585808309116</v>
      </c>
      <c r="E192" s="18">
        <f t="shared" si="14"/>
        <v>2.2671445708100815</v>
      </c>
    </row>
    <row r="193" spans="1:5" x14ac:dyDescent="0.35">
      <c r="A193" s="16">
        <v>181</v>
      </c>
      <c r="B193" s="17">
        <f t="shared" si="11"/>
        <v>4131347498600572</v>
      </c>
      <c r="C193" s="17">
        <f t="shared" si="12"/>
        <v>210662398</v>
      </c>
      <c r="D193" s="17">
        <f t="shared" si="13"/>
        <v>0.39238929522182531</v>
      </c>
      <c r="E193" s="18">
        <f t="shared" si="14"/>
        <v>5.6169209727371889</v>
      </c>
    </row>
    <row r="194" spans="1:5" x14ac:dyDescent="0.35">
      <c r="A194" s="16">
        <v>182</v>
      </c>
      <c r="B194" s="17">
        <f t="shared" si="11"/>
        <v>8899014028155900</v>
      </c>
      <c r="C194" s="17">
        <f t="shared" si="12"/>
        <v>184338645</v>
      </c>
      <c r="D194" s="17">
        <f t="shared" si="13"/>
        <v>0.34335748420416373</v>
      </c>
      <c r="E194" s="18">
        <f t="shared" si="14"/>
        <v>4.7420014044016101</v>
      </c>
    </row>
    <row r="195" spans="1:5" x14ac:dyDescent="0.35">
      <c r="A195" s="16">
        <v>183</v>
      </c>
      <c r="B195" s="17">
        <f t="shared" si="11"/>
        <v>7787019440615617</v>
      </c>
      <c r="C195" s="17">
        <f t="shared" si="12"/>
        <v>8078023</v>
      </c>
      <c r="D195" s="17">
        <f t="shared" si="13"/>
        <v>1.5046490412378648E-2</v>
      </c>
      <c r="E195" s="18">
        <f t="shared" si="14"/>
        <v>0.17092263035094438</v>
      </c>
    </row>
    <row r="196" spans="1:5" x14ac:dyDescent="0.35">
      <c r="A196" s="16">
        <v>184</v>
      </c>
      <c r="B196" s="17">
        <f t="shared" si="11"/>
        <v>341240046602775</v>
      </c>
      <c r="C196" s="17">
        <f t="shared" si="12"/>
        <v>63732976</v>
      </c>
      <c r="D196" s="17">
        <f t="shared" si="13"/>
        <v>0.11871191903468936</v>
      </c>
      <c r="E196" s="18">
        <f t="shared" si="14"/>
        <v>1.4246980084146974</v>
      </c>
    </row>
    <row r="197" spans="1:5" x14ac:dyDescent="0.35">
      <c r="A197" s="16">
        <v>185</v>
      </c>
      <c r="B197" s="17">
        <f t="shared" si="11"/>
        <v>2692272838386258</v>
      </c>
      <c r="C197" s="17">
        <f t="shared" si="12"/>
        <v>511190830</v>
      </c>
      <c r="D197" s="17">
        <f t="shared" si="13"/>
        <v>0.95216712337794573</v>
      </c>
      <c r="E197" s="18">
        <f t="shared" si="14"/>
        <v>34.27330417663071</v>
      </c>
    </row>
    <row r="198" spans="1:5" x14ac:dyDescent="0.35">
      <c r="A198" s="16">
        <v>186</v>
      </c>
      <c r="B198" s="17">
        <f t="shared" si="11"/>
        <v>2.1594239886944648E+16</v>
      </c>
      <c r="C198" s="17">
        <f t="shared" si="12"/>
        <v>135112782</v>
      </c>
      <c r="D198" s="17">
        <f t="shared" si="13"/>
        <v>0.25166716892893304</v>
      </c>
      <c r="E198" s="18">
        <f t="shared" si="14"/>
        <v>3.2684040433893804</v>
      </c>
    </row>
    <row r="199" spans="1:5" x14ac:dyDescent="0.35">
      <c r="A199" s="16">
        <v>187</v>
      </c>
      <c r="B199" s="17">
        <f t="shared" si="11"/>
        <v>5707570768422124</v>
      </c>
      <c r="C199" s="17">
        <f t="shared" si="12"/>
        <v>13688055</v>
      </c>
      <c r="D199" s="17">
        <f t="shared" si="13"/>
        <v>2.5495989343136509E-2</v>
      </c>
      <c r="E199" s="18">
        <f t="shared" si="14"/>
        <v>0.2911684829560886</v>
      </c>
    </row>
    <row r="200" spans="1:5" x14ac:dyDescent="0.35">
      <c r="A200" s="16">
        <v>188</v>
      </c>
      <c r="B200" s="17">
        <f t="shared" si="11"/>
        <v>578224690089127</v>
      </c>
      <c r="C200" s="17">
        <f t="shared" si="12"/>
        <v>223427530</v>
      </c>
      <c r="D200" s="17">
        <f t="shared" si="13"/>
        <v>0.41616620650949404</v>
      </c>
      <c r="E200" s="18">
        <f t="shared" si="14"/>
        <v>6.0669553195909653</v>
      </c>
    </row>
    <row r="201" spans="1:5" x14ac:dyDescent="0.35">
      <c r="A201" s="16">
        <v>189</v>
      </c>
      <c r="B201" s="17">
        <f t="shared" si="11"/>
        <v>9438251639648352</v>
      </c>
      <c r="C201" s="17">
        <f t="shared" si="12"/>
        <v>357855409</v>
      </c>
      <c r="D201" s="17">
        <f t="shared" si="13"/>
        <v>0.66655764418303087</v>
      </c>
      <c r="E201" s="18">
        <f t="shared" si="14"/>
        <v>12.382021135198439</v>
      </c>
    </row>
    <row r="202" spans="1:5" x14ac:dyDescent="0.35">
      <c r="A202" s="16">
        <v>190</v>
      </c>
      <c r="B202" s="17">
        <f t="shared" si="11"/>
        <v>1.5116890010952022E+16</v>
      </c>
      <c r="C202" s="17">
        <f t="shared" si="12"/>
        <v>484689711</v>
      </c>
      <c r="D202" s="17">
        <f t="shared" si="13"/>
        <v>0.90280494243951492</v>
      </c>
      <c r="E202" s="18">
        <f t="shared" si="14"/>
        <v>26.279993426738578</v>
      </c>
    </row>
    <row r="203" spans="1:5" x14ac:dyDescent="0.35">
      <c r="A203" s="16">
        <v>191</v>
      </c>
      <c r="B203" s="17">
        <f t="shared" si="11"/>
        <v>2.0474752825515344E+16</v>
      </c>
      <c r="C203" s="17">
        <f t="shared" si="12"/>
        <v>55397055</v>
      </c>
      <c r="D203" s="17">
        <f t="shared" si="13"/>
        <v>0.10318505616182483</v>
      </c>
      <c r="E203" s="18">
        <f t="shared" si="14"/>
        <v>1.2277986905336811</v>
      </c>
    </row>
    <row r="204" spans="1:5" x14ac:dyDescent="0.35">
      <c r="A204" s="16">
        <v>192</v>
      </c>
      <c r="B204" s="17">
        <f t="shared" si="11"/>
        <v>2340138435888127</v>
      </c>
      <c r="C204" s="17">
        <f t="shared" si="12"/>
        <v>276088510</v>
      </c>
      <c r="D204" s="17">
        <f t="shared" si="13"/>
        <v>0.51425492582565147</v>
      </c>
      <c r="E204" s="18">
        <f t="shared" si="14"/>
        <v>8.1406012563260504</v>
      </c>
    </row>
    <row r="205" spans="1:5" x14ac:dyDescent="0.35">
      <c r="A205" s="16">
        <v>193</v>
      </c>
      <c r="B205" s="17">
        <f t="shared" si="11"/>
        <v>1.1662809997059132E+16</v>
      </c>
      <c r="C205" s="17">
        <f t="shared" si="12"/>
        <v>272670296</v>
      </c>
      <c r="D205" s="17">
        <f t="shared" si="13"/>
        <v>0.50788800607579954</v>
      </c>
      <c r="E205" s="18">
        <f t="shared" si="14"/>
        <v>7.9937875813568571</v>
      </c>
    </row>
    <row r="206" spans="1:5" x14ac:dyDescent="0.35">
      <c r="A206" s="16">
        <v>194</v>
      </c>
      <c r="B206" s="17">
        <f t="shared" ref="B206:B258" si="15">$B$2*C205+$B$3</f>
        <v>1.1518414345456778E+16</v>
      </c>
      <c r="C206" s="17">
        <f t="shared" ref="C206:C258" si="16">MOD(B206,$B$4)</f>
        <v>347548680</v>
      </c>
      <c r="D206" s="17">
        <f t="shared" ref="D206:D258" si="17">C206/($B$4-1)</f>
        <v>0.6473598653352256</v>
      </c>
      <c r="E206" s="18">
        <f t="shared" ref="E206:E269" si="18">(-1/$B$6) * LN(1-D206)</f>
        <v>11.750926613096428</v>
      </c>
    </row>
    <row r="207" spans="1:5" x14ac:dyDescent="0.35">
      <c r="A207" s="16">
        <v>195</v>
      </c>
      <c r="B207" s="17">
        <f t="shared" si="15"/>
        <v>1.4681502744431002E+16</v>
      </c>
      <c r="C207" s="17">
        <f t="shared" si="16"/>
        <v>494604183</v>
      </c>
      <c r="D207" s="17">
        <f t="shared" si="17"/>
        <v>0.92127208568629659</v>
      </c>
      <c r="E207" s="18">
        <f t="shared" si="18"/>
        <v>28.655665093236284</v>
      </c>
    </row>
    <row r="208" spans="1:5" x14ac:dyDescent="0.35">
      <c r="A208" s="16">
        <v>196</v>
      </c>
      <c r="B208" s="17">
        <f t="shared" si="15"/>
        <v>2.0893569975270536E+16</v>
      </c>
      <c r="C208" s="17">
        <f t="shared" si="16"/>
        <v>449384770</v>
      </c>
      <c r="D208" s="17">
        <f t="shared" si="17"/>
        <v>0.83704436509700253</v>
      </c>
      <c r="E208" s="18">
        <f t="shared" si="18"/>
        <v>20.454084484012238</v>
      </c>
    </row>
    <row r="209" spans="1:5" x14ac:dyDescent="0.35">
      <c r="A209" s="16">
        <v>197</v>
      </c>
      <c r="B209" s="17">
        <f t="shared" si="15"/>
        <v>1.8983365814497992E+16</v>
      </c>
      <c r="C209" s="17">
        <f t="shared" si="16"/>
        <v>169819378</v>
      </c>
      <c r="D209" s="17">
        <f t="shared" si="17"/>
        <v>0.31631324185547693</v>
      </c>
      <c r="E209" s="18">
        <f t="shared" si="18"/>
        <v>4.286983339148688</v>
      </c>
    </row>
    <row r="210" spans="1:5" x14ac:dyDescent="0.35">
      <c r="A210" s="16">
        <v>198</v>
      </c>
      <c r="B210" s="17">
        <f t="shared" si="15"/>
        <v>7173681885022680</v>
      </c>
      <c r="C210" s="17">
        <f t="shared" si="16"/>
        <v>424209727</v>
      </c>
      <c r="D210" s="17">
        <f t="shared" si="17"/>
        <v>0.79015219319668484</v>
      </c>
      <c r="E210" s="18">
        <f t="shared" si="18"/>
        <v>17.602849385750556</v>
      </c>
    </row>
    <row r="211" spans="1:5" x14ac:dyDescent="0.35">
      <c r="A211" s="16">
        <v>199</v>
      </c>
      <c r="B211" s="17">
        <f t="shared" si="15"/>
        <v>1.7919896196123518E+16</v>
      </c>
      <c r="C211" s="17">
        <f t="shared" si="16"/>
        <v>422304741</v>
      </c>
      <c r="D211" s="17">
        <f t="shared" si="17"/>
        <v>0.78660388025121342</v>
      </c>
      <c r="E211" s="18">
        <f t="shared" si="18"/>
        <v>17.413811987318756</v>
      </c>
    </row>
    <row r="212" spans="1:5" x14ac:dyDescent="0.35">
      <c r="A212" s="16">
        <v>200</v>
      </c>
      <c r="B212" s="17">
        <f t="shared" si="15"/>
        <v>1.7839423851570674E+16</v>
      </c>
      <c r="C212" s="17">
        <f t="shared" si="16"/>
        <v>195472598</v>
      </c>
      <c r="D212" s="17">
        <f t="shared" si="17"/>
        <v>0.36409608782863651</v>
      </c>
      <c r="E212" s="18">
        <f t="shared" si="18"/>
        <v>5.1038084390928971</v>
      </c>
    </row>
    <row r="213" spans="1:5" x14ac:dyDescent="0.35">
      <c r="A213" s="16">
        <v>201</v>
      </c>
      <c r="B213" s="17">
        <f t="shared" si="15"/>
        <v>8257351139668100</v>
      </c>
      <c r="C213" s="17">
        <f t="shared" si="16"/>
        <v>39968935</v>
      </c>
      <c r="D213" s="17">
        <f t="shared" si="17"/>
        <v>7.4447943175017628E-2</v>
      </c>
      <c r="E213" s="18">
        <f t="shared" si="18"/>
        <v>0.87220858292771397</v>
      </c>
    </row>
    <row r="214" spans="1:5" x14ac:dyDescent="0.35">
      <c r="A214" s="16">
        <v>202</v>
      </c>
      <c r="B214" s="17">
        <f t="shared" si="15"/>
        <v>1688408193018807</v>
      </c>
      <c r="C214" s="17">
        <f t="shared" si="16"/>
        <v>180660352</v>
      </c>
      <c r="D214" s="17">
        <f t="shared" si="17"/>
        <v>0.33650612956474024</v>
      </c>
      <c r="E214" s="18">
        <f t="shared" si="18"/>
        <v>4.6249792951662263</v>
      </c>
    </row>
    <row r="215" spans="1:5" x14ac:dyDescent="0.35">
      <c r="A215" s="16">
        <v>203</v>
      </c>
      <c r="B215" s="17">
        <f t="shared" si="15"/>
        <v>7631637268955394</v>
      </c>
      <c r="C215" s="17">
        <f t="shared" si="16"/>
        <v>89221242</v>
      </c>
      <c r="D215" s="17">
        <f t="shared" si="17"/>
        <v>0.16618751423875808</v>
      </c>
      <c r="E215" s="18">
        <f t="shared" si="18"/>
        <v>2.0490049506178458</v>
      </c>
    </row>
    <row r="216" spans="1:5" x14ac:dyDescent="0.35">
      <c r="A216" s="16">
        <v>204</v>
      </c>
      <c r="B216" s="17">
        <f t="shared" si="15"/>
        <v>3768973939395184</v>
      </c>
      <c r="C216" s="17">
        <f t="shared" si="16"/>
        <v>20867413</v>
      </c>
      <c r="D216" s="17">
        <f t="shared" si="17"/>
        <v>3.8868585746245778E-2</v>
      </c>
      <c r="E216" s="18">
        <f t="shared" si="18"/>
        <v>0.4469462453040417</v>
      </c>
    </row>
    <row r="217" spans="1:5" x14ac:dyDescent="0.35">
      <c r="A217" s="16">
        <v>205</v>
      </c>
      <c r="B217" s="17">
        <f t="shared" si="15"/>
        <v>881502389056065</v>
      </c>
      <c r="C217" s="17">
        <f t="shared" si="16"/>
        <v>81641479</v>
      </c>
      <c r="D217" s="17">
        <f t="shared" si="17"/>
        <v>0.15206910540189261</v>
      </c>
      <c r="E217" s="18">
        <f t="shared" si="18"/>
        <v>1.8597084411512765</v>
      </c>
    </row>
    <row r="218" spans="1:5" x14ac:dyDescent="0.35">
      <c r="A218" s="16">
        <v>206</v>
      </c>
      <c r="B218" s="17">
        <f t="shared" si="15"/>
        <v>3448781927608791</v>
      </c>
      <c r="C218" s="17">
        <f t="shared" si="16"/>
        <v>504755975</v>
      </c>
      <c r="D218" s="17">
        <f t="shared" si="17"/>
        <v>0.94018127188154044</v>
      </c>
      <c r="E218" s="18">
        <f t="shared" si="18"/>
        <v>31.752384304593889</v>
      </c>
    </row>
    <row r="219" spans="1:5" x14ac:dyDescent="0.35">
      <c r="A219" s="16">
        <v>207</v>
      </c>
      <c r="B219" s="17">
        <f t="shared" si="15"/>
        <v>2.1322412236396248E+16</v>
      </c>
      <c r="C219" s="17">
        <f t="shared" si="16"/>
        <v>427350991</v>
      </c>
      <c r="D219" s="17">
        <f t="shared" si="17"/>
        <v>0.79600325337053557</v>
      </c>
      <c r="E219" s="18">
        <f t="shared" si="18"/>
        <v>17.921659900336774</v>
      </c>
    </row>
    <row r="220" spans="1:5" x14ac:dyDescent="0.35">
      <c r="A220" s="16">
        <v>208</v>
      </c>
      <c r="B220" s="17">
        <f t="shared" si="15"/>
        <v>1.8052592645829424E+16</v>
      </c>
      <c r="C220" s="17">
        <f t="shared" si="16"/>
        <v>99551510</v>
      </c>
      <c r="D220" s="17">
        <f t="shared" si="17"/>
        <v>0.18542913789089449</v>
      </c>
      <c r="E220" s="18">
        <f t="shared" si="18"/>
        <v>2.3122193232982564</v>
      </c>
    </row>
    <row r="221" spans="1:5" x14ac:dyDescent="0.35">
      <c r="A221" s="16">
        <v>209</v>
      </c>
      <c r="B221" s="17">
        <f t="shared" si="15"/>
        <v>4205355564152132</v>
      </c>
      <c r="C221" s="17">
        <f t="shared" si="16"/>
        <v>84261697</v>
      </c>
      <c r="D221" s="17">
        <f t="shared" si="17"/>
        <v>0.15694964176770165</v>
      </c>
      <c r="E221" s="18">
        <f t="shared" si="18"/>
        <v>1.9247867625038917</v>
      </c>
    </row>
    <row r="222" spans="1:5" x14ac:dyDescent="0.35">
      <c r="A222" s="16">
        <v>210</v>
      </c>
      <c r="B222" s="17">
        <f t="shared" si="15"/>
        <v>3559467825405189</v>
      </c>
      <c r="C222" s="17">
        <f t="shared" si="16"/>
        <v>263702414</v>
      </c>
      <c r="D222" s="17">
        <f t="shared" si="17"/>
        <v>0.4911840241073967</v>
      </c>
      <c r="E222" s="18">
        <f t="shared" si="18"/>
        <v>7.6174618747370593</v>
      </c>
    </row>
    <row r="223" spans="1:5" x14ac:dyDescent="0.35">
      <c r="A223" s="16">
        <v>211</v>
      </c>
      <c r="B223" s="17">
        <f t="shared" si="15"/>
        <v>1.1139584007484076E+16</v>
      </c>
      <c r="C223" s="17">
        <f t="shared" si="16"/>
        <v>83021264</v>
      </c>
      <c r="D223" s="17">
        <f t="shared" si="17"/>
        <v>0.15463915524869842</v>
      </c>
      <c r="E223" s="18">
        <f t="shared" si="18"/>
        <v>1.8939313142041418</v>
      </c>
    </row>
    <row r="224" spans="1:5" x14ac:dyDescent="0.35">
      <c r="A224" s="16">
        <v>212</v>
      </c>
      <c r="B224" s="17">
        <f t="shared" si="15"/>
        <v>3507068200541426</v>
      </c>
      <c r="C224" s="17">
        <f t="shared" si="16"/>
        <v>313494073</v>
      </c>
      <c r="D224" s="17">
        <f t="shared" si="17"/>
        <v>0.5839282165614077</v>
      </c>
      <c r="E224" s="18">
        <f t="shared" si="18"/>
        <v>9.8861045914795618</v>
      </c>
    </row>
    <row r="225" spans="1:5" x14ac:dyDescent="0.35">
      <c r="A225" s="16">
        <v>213</v>
      </c>
      <c r="B225" s="17">
        <f t="shared" si="15"/>
        <v>1.3242933606329326E+16</v>
      </c>
      <c r="C225" s="17">
        <f t="shared" si="16"/>
        <v>47976180</v>
      </c>
      <c r="D225" s="17">
        <f t="shared" si="17"/>
        <v>8.9362599288532879E-2</v>
      </c>
      <c r="E225" s="18">
        <f t="shared" si="18"/>
        <v>1.0553605898851994</v>
      </c>
    </row>
    <row r="226" spans="1:5" x14ac:dyDescent="0.35">
      <c r="A226" s="16">
        <v>214</v>
      </c>
      <c r="B226" s="17">
        <f t="shared" si="15"/>
        <v>2026658331633502</v>
      </c>
      <c r="C226" s="17">
        <f t="shared" si="16"/>
        <v>170508607</v>
      </c>
      <c r="D226" s="17">
        <f t="shared" si="17"/>
        <v>0.31759703091381875</v>
      </c>
      <c r="E226" s="18">
        <f t="shared" si="18"/>
        <v>4.3081728508140769</v>
      </c>
    </row>
    <row r="227" spans="1:5" x14ac:dyDescent="0.35">
      <c r="A227" s="16">
        <v>215</v>
      </c>
      <c r="B227" s="17">
        <f t="shared" si="15"/>
        <v>7202796993251199</v>
      </c>
      <c r="C227" s="17">
        <f t="shared" si="16"/>
        <v>486063805</v>
      </c>
      <c r="D227" s="17">
        <f t="shared" si="17"/>
        <v>0.90536439197273699</v>
      </c>
      <c r="E227" s="18">
        <f t="shared" si="18"/>
        <v>26.580850817807164</v>
      </c>
    </row>
    <row r="228" spans="1:5" x14ac:dyDescent="0.35">
      <c r="A228" s="16">
        <v>216</v>
      </c>
      <c r="B228" s="17">
        <f t="shared" si="15"/>
        <v>2.0532798693472376E+16</v>
      </c>
      <c r="C228" s="17">
        <f t="shared" si="16"/>
        <v>514198589</v>
      </c>
      <c r="D228" s="17">
        <f t="shared" si="17"/>
        <v>0.95776951111022202</v>
      </c>
      <c r="E228" s="18">
        <f t="shared" si="18"/>
        <v>35.677709506961044</v>
      </c>
    </row>
    <row r="229" spans="1:5" x14ac:dyDescent="0.35">
      <c r="A229" s="16">
        <v>217</v>
      </c>
      <c r="B229" s="17">
        <f t="shared" si="15"/>
        <v>2.1721296683467E+16</v>
      </c>
      <c r="C229" s="17">
        <f t="shared" si="16"/>
        <v>524966963</v>
      </c>
      <c r="D229" s="17">
        <f t="shared" si="17"/>
        <v>0.97782717078114734</v>
      </c>
      <c r="E229" s="18">
        <f t="shared" si="18"/>
        <v>42.941236175343512</v>
      </c>
    </row>
    <row r="230" spans="1:5" x14ac:dyDescent="0.35">
      <c r="A230" s="16">
        <v>218</v>
      </c>
      <c r="B230" s="17">
        <f t="shared" si="15"/>
        <v>2.2176185224801112E+16</v>
      </c>
      <c r="C230" s="17">
        <f t="shared" si="16"/>
        <v>490894419</v>
      </c>
      <c r="D230" s="17">
        <f t="shared" si="17"/>
        <v>0.91436211174116322</v>
      </c>
      <c r="E230" s="18">
        <f t="shared" si="18"/>
        <v>27.707186853613141</v>
      </c>
    </row>
    <row r="231" spans="1:5" x14ac:dyDescent="0.35">
      <c r="A231" s="16">
        <v>219</v>
      </c>
      <c r="B231" s="17">
        <f t="shared" si="15"/>
        <v>2.0736858373811128E+16</v>
      </c>
      <c r="C231" s="17">
        <f t="shared" si="16"/>
        <v>393104440</v>
      </c>
      <c r="D231" s="17">
        <f t="shared" si="17"/>
        <v>0.73221408103486185</v>
      </c>
      <c r="E231" s="18">
        <f t="shared" si="18"/>
        <v>14.854198731921487</v>
      </c>
    </row>
    <row r="232" spans="1:5" x14ac:dyDescent="0.35">
      <c r="A232" s="16">
        <v>220</v>
      </c>
      <c r="B232" s="17">
        <f t="shared" si="15"/>
        <v>1.6605915215224362E+16</v>
      </c>
      <c r="C232" s="17">
        <f t="shared" si="16"/>
        <v>258659865</v>
      </c>
      <c r="D232" s="17">
        <f t="shared" si="17"/>
        <v>0.48179154463779755</v>
      </c>
      <c r="E232" s="18">
        <f t="shared" si="18"/>
        <v>7.4112479616021441</v>
      </c>
    </row>
    <row r="233" spans="1:5" x14ac:dyDescent="0.35">
      <c r="A233" s="16">
        <v>221</v>
      </c>
      <c r="B233" s="17">
        <f t="shared" si="15"/>
        <v>1.0926571554609038E+16</v>
      </c>
      <c r="C233" s="17">
        <f t="shared" si="16"/>
        <v>290890963</v>
      </c>
      <c r="D233" s="17">
        <f t="shared" si="17"/>
        <v>0.54182664320553331</v>
      </c>
      <c r="E233" s="18">
        <f t="shared" si="18"/>
        <v>8.7994099007810629</v>
      </c>
    </row>
    <row r="234" spans="1:5" x14ac:dyDescent="0.35">
      <c r="A234" s="16">
        <v>222</v>
      </c>
      <c r="B234" s="17">
        <f t="shared" si="15"/>
        <v>1.2288110181965114E+16</v>
      </c>
      <c r="C234" s="17">
        <f t="shared" si="16"/>
        <v>465083646</v>
      </c>
      <c r="D234" s="17">
        <f t="shared" si="17"/>
        <v>0.86628580043571368</v>
      </c>
      <c r="E234" s="18">
        <f t="shared" si="18"/>
        <v>22.683772219213633</v>
      </c>
    </row>
    <row r="235" spans="1:5" x14ac:dyDescent="0.35">
      <c r="A235" s="16">
        <v>223</v>
      </c>
      <c r="B235" s="17">
        <f t="shared" si="15"/>
        <v>1.9646533606053624E+16</v>
      </c>
      <c r="C235" s="17">
        <f t="shared" si="16"/>
        <v>316045904</v>
      </c>
      <c r="D235" s="17">
        <f t="shared" si="17"/>
        <v>0.58868137221292172</v>
      </c>
      <c r="E235" s="18">
        <f t="shared" si="18"/>
        <v>10.015638272230184</v>
      </c>
    </row>
    <row r="236" spans="1:5" x14ac:dyDescent="0.35">
      <c r="A236" s="16">
        <v>224</v>
      </c>
      <c r="B236" s="17">
        <f t="shared" si="15"/>
        <v>1.3350730631332466E+16</v>
      </c>
      <c r="C236" s="17">
        <f t="shared" si="16"/>
        <v>373372363</v>
      </c>
      <c r="D236" s="17">
        <f t="shared" si="17"/>
        <v>0.69546022338964131</v>
      </c>
      <c r="E236" s="18">
        <f t="shared" si="18"/>
        <v>13.404211624590561</v>
      </c>
    </row>
    <row r="237" spans="1:5" x14ac:dyDescent="0.35">
      <c r="A237" s="16">
        <v>225</v>
      </c>
      <c r="B237" s="17">
        <f t="shared" si="15"/>
        <v>1.5772372869460514E+16</v>
      </c>
      <c r="C237" s="17">
        <f t="shared" si="16"/>
        <v>468089151</v>
      </c>
      <c r="D237" s="17">
        <f t="shared" si="17"/>
        <v>0.87188398976580794</v>
      </c>
      <c r="E237" s="18">
        <f t="shared" si="18"/>
        <v>23.165942452952567</v>
      </c>
    </row>
    <row r="238" spans="1:5" x14ac:dyDescent="0.35">
      <c r="A238" s="16">
        <v>226</v>
      </c>
      <c r="B238" s="17">
        <f t="shared" si="15"/>
        <v>1.9773495186829184E+16</v>
      </c>
      <c r="C238" s="17">
        <f t="shared" si="16"/>
        <v>516304540</v>
      </c>
      <c r="D238" s="17">
        <f t="shared" si="17"/>
        <v>0.96169215053950308</v>
      </c>
      <c r="E238" s="18">
        <f t="shared" si="18"/>
        <v>36.776780800958122</v>
      </c>
    </row>
    <row r="239" spans="1:5" x14ac:dyDescent="0.35">
      <c r="A239" s="16">
        <v>227</v>
      </c>
      <c r="B239" s="17">
        <f t="shared" si="15"/>
        <v>2.1810258394725464E+16</v>
      </c>
      <c r="C239" s="17">
        <f t="shared" si="16"/>
        <v>41918172</v>
      </c>
      <c r="D239" s="17">
        <f t="shared" si="17"/>
        <v>7.8078680031294673E-2</v>
      </c>
      <c r="E239" s="18">
        <f t="shared" si="18"/>
        <v>0.91652080413109016</v>
      </c>
    </row>
    <row r="240" spans="1:5" x14ac:dyDescent="0.35">
      <c r="A240" s="16">
        <v>228</v>
      </c>
      <c r="B240" s="17">
        <f t="shared" si="15"/>
        <v>1770749833051414</v>
      </c>
      <c r="C240" s="17">
        <f t="shared" si="16"/>
        <v>318460156</v>
      </c>
      <c r="D240" s="17">
        <f t="shared" si="17"/>
        <v>0.59317826700649512</v>
      </c>
      <c r="E240" s="18">
        <f t="shared" si="18"/>
        <v>10.13957375381742</v>
      </c>
    </row>
    <row r="241" spans="1:5" x14ac:dyDescent="0.35">
      <c r="A241" s="16">
        <v>229</v>
      </c>
      <c r="B241" s="17">
        <f t="shared" si="15"/>
        <v>1.3452715905125238E+16</v>
      </c>
      <c r="C241" s="17">
        <f t="shared" si="16"/>
        <v>38298842</v>
      </c>
      <c r="D241" s="17">
        <f t="shared" si="17"/>
        <v>7.1337152538214446E-2</v>
      </c>
      <c r="E241" s="18">
        <f t="shared" si="18"/>
        <v>0.83438022420543989</v>
      </c>
    </row>
    <row r="242" spans="1:5" x14ac:dyDescent="0.35">
      <c r="A242" s="16">
        <v>230</v>
      </c>
      <c r="B242" s="17">
        <f t="shared" si="15"/>
        <v>1617858436048784</v>
      </c>
      <c r="C242" s="17">
        <f t="shared" si="16"/>
        <v>93233928</v>
      </c>
      <c r="D242" s="17">
        <f t="shared" si="17"/>
        <v>0.17366172437988864</v>
      </c>
      <c r="E242" s="18">
        <f t="shared" si="18"/>
        <v>2.150519218134606</v>
      </c>
    </row>
    <row r="243" spans="1:5" x14ac:dyDescent="0.35">
      <c r="A243" s="16">
        <v>231</v>
      </c>
      <c r="B243" s="17">
        <f t="shared" si="15"/>
        <v>3938481878232730</v>
      </c>
      <c r="C243" s="17">
        <f t="shared" si="16"/>
        <v>96362196</v>
      </c>
      <c r="D243" s="17">
        <f t="shared" si="17"/>
        <v>0.17948857761728979</v>
      </c>
      <c r="E243" s="18">
        <f t="shared" si="18"/>
        <v>2.2302981657547187</v>
      </c>
    </row>
    <row r="244" spans="1:5" x14ac:dyDescent="0.35">
      <c r="A244" s="16">
        <v>232</v>
      </c>
      <c r="B244" s="17">
        <f t="shared" si="15"/>
        <v>4070629337767678</v>
      </c>
      <c r="C244" s="17">
        <f t="shared" si="16"/>
        <v>2379960</v>
      </c>
      <c r="D244" s="17">
        <f t="shared" si="17"/>
        <v>4.4330209658779984E-3</v>
      </c>
      <c r="E244" s="18">
        <f t="shared" si="18"/>
        <v>5.0088792998568402E-2</v>
      </c>
    </row>
    <row r="245" spans="1:5" x14ac:dyDescent="0.35">
      <c r="A245" s="16">
        <v>233</v>
      </c>
      <c r="B245" s="17">
        <f t="shared" si="15"/>
        <v>100536708615082</v>
      </c>
      <c r="C245" s="17">
        <f t="shared" si="16"/>
        <v>114337578</v>
      </c>
      <c r="D245" s="17">
        <f t="shared" si="17"/>
        <v>0.21297033582989253</v>
      </c>
      <c r="E245" s="18">
        <f t="shared" si="18"/>
        <v>2.6999925429060112</v>
      </c>
    </row>
    <row r="246" spans="1:5" x14ac:dyDescent="0.35">
      <c r="A246" s="16">
        <v>234</v>
      </c>
      <c r="B246" s="17">
        <f t="shared" si="15"/>
        <v>4829963597322880</v>
      </c>
      <c r="C246" s="17">
        <f t="shared" si="16"/>
        <v>151544092</v>
      </c>
      <c r="D246" s="17">
        <f t="shared" si="17"/>
        <v>0.28227286890995829</v>
      </c>
      <c r="E246" s="18">
        <f t="shared" si="18"/>
        <v>3.7391862731914518</v>
      </c>
    </row>
    <row r="247" spans="1:5" x14ac:dyDescent="0.35">
      <c r="A247" s="16">
        <v>235</v>
      </c>
      <c r="B247" s="17">
        <f t="shared" si="15"/>
        <v>6401678777496534</v>
      </c>
      <c r="C247" s="17">
        <f t="shared" si="16"/>
        <v>506832429</v>
      </c>
      <c r="D247" s="17">
        <f t="shared" si="17"/>
        <v>0.94404896886664991</v>
      </c>
      <c r="E247" s="18">
        <f t="shared" si="18"/>
        <v>32.505957326308135</v>
      </c>
    </row>
    <row r="248" spans="1:5" x14ac:dyDescent="0.35">
      <c r="A248" s="16">
        <v>236</v>
      </c>
      <c r="B248" s="17">
        <f t="shared" si="15"/>
        <v>2.141012790555924E+16</v>
      </c>
      <c r="C248" s="17">
        <f t="shared" si="16"/>
        <v>516462070</v>
      </c>
      <c r="D248" s="17">
        <f t="shared" si="17"/>
        <v>0.96198557303095444</v>
      </c>
      <c r="E248" s="18">
        <f t="shared" si="18"/>
        <v>36.863467127701448</v>
      </c>
    </row>
    <row r="249" spans="1:5" x14ac:dyDescent="0.35">
      <c r="A249" s="16">
        <v>237</v>
      </c>
      <c r="B249" s="17">
        <f t="shared" si="15"/>
        <v>2.1816912936248288E+16</v>
      </c>
      <c r="C249" s="17">
        <f t="shared" si="16"/>
        <v>68499151</v>
      </c>
      <c r="D249" s="17">
        <f t="shared" si="17"/>
        <v>0.12758961181189721</v>
      </c>
      <c r="E249" s="18">
        <f t="shared" si="18"/>
        <v>1.5388425831793431</v>
      </c>
    </row>
    <row r="250" spans="1:5" x14ac:dyDescent="0.35">
      <c r="A250" s="16">
        <v>238</v>
      </c>
      <c r="B250" s="17">
        <f t="shared" si="15"/>
        <v>2893610421339183</v>
      </c>
      <c r="C250" s="17">
        <f t="shared" si="16"/>
        <v>228229624</v>
      </c>
      <c r="D250" s="17">
        <f t="shared" si="17"/>
        <v>0.42511080363806636</v>
      </c>
      <c r="E250" s="18">
        <f t="shared" si="18"/>
        <v>6.2410141909069292</v>
      </c>
    </row>
    <row r="251" spans="1:5" x14ac:dyDescent="0.35">
      <c r="A251" s="16">
        <v>239</v>
      </c>
      <c r="B251" s="17">
        <f t="shared" si="15"/>
        <v>9641106549313386</v>
      </c>
      <c r="C251" s="17">
        <f t="shared" si="16"/>
        <v>204411826</v>
      </c>
      <c r="D251" s="17">
        <f t="shared" si="17"/>
        <v>0.38074669756273438</v>
      </c>
      <c r="E251" s="18">
        <f t="shared" si="18"/>
        <v>5.4029411236077207</v>
      </c>
    </row>
    <row r="252" spans="1:5" x14ac:dyDescent="0.35">
      <c r="A252" s="16">
        <v>240</v>
      </c>
      <c r="B252" s="17">
        <f t="shared" si="15"/>
        <v>8634971046403608</v>
      </c>
      <c r="C252" s="17">
        <f t="shared" si="16"/>
        <v>517163462</v>
      </c>
      <c r="D252" s="17">
        <f t="shared" si="17"/>
        <v>0.96329201744233073</v>
      </c>
      <c r="E252" s="18">
        <f t="shared" si="18"/>
        <v>37.257734376434861</v>
      </c>
    </row>
    <row r="253" spans="1:5" x14ac:dyDescent="0.35">
      <c r="A253" s="16">
        <v>241</v>
      </c>
      <c r="B253" s="17">
        <f t="shared" si="15"/>
        <v>2.18465418462196E+16</v>
      </c>
      <c r="C253" s="17">
        <f t="shared" si="16"/>
        <v>146634195</v>
      </c>
      <c r="D253" s="17">
        <f t="shared" si="17"/>
        <v>0.27312747304561535</v>
      </c>
      <c r="E253" s="18">
        <f t="shared" si="18"/>
        <v>3.5964392109734953</v>
      </c>
    </row>
    <row r="254" spans="1:5" x14ac:dyDescent="0.35">
      <c r="A254" s="16">
        <v>242</v>
      </c>
      <c r="B254" s="17">
        <f t="shared" si="15"/>
        <v>6194269944516667</v>
      </c>
      <c r="C254" s="17">
        <f t="shared" si="16"/>
        <v>476028281</v>
      </c>
      <c r="D254" s="17">
        <f t="shared" si="17"/>
        <v>0.88667177180451073</v>
      </c>
      <c r="E254" s="18">
        <f t="shared" si="18"/>
        <v>24.548669632339678</v>
      </c>
    </row>
    <row r="255" spans="1:5" x14ac:dyDescent="0.35">
      <c r="A255" s="16">
        <v>243</v>
      </c>
      <c r="B255" s="17">
        <f t="shared" si="15"/>
        <v>2.0108867942749616E+16</v>
      </c>
      <c r="C255" s="17">
        <f t="shared" si="16"/>
        <v>214670581</v>
      </c>
      <c r="D255" s="17">
        <f t="shared" si="17"/>
        <v>0.39985511787181766</v>
      </c>
      <c r="E255" s="18">
        <f t="shared" si="18"/>
        <v>5.7563042018217949</v>
      </c>
    </row>
    <row r="256" spans="1:5" x14ac:dyDescent="0.35">
      <c r="A256" s="16">
        <v>244</v>
      </c>
      <c r="B256" s="17">
        <f t="shared" si="15"/>
        <v>9068331746714914</v>
      </c>
      <c r="C256" s="17">
        <f t="shared" si="16"/>
        <v>91857390</v>
      </c>
      <c r="D256" s="17">
        <f t="shared" si="17"/>
        <v>0.17109772254190492</v>
      </c>
      <c r="E256" s="18">
        <f t="shared" si="18"/>
        <v>2.1155920047537964</v>
      </c>
    </row>
    <row r="257" spans="1:5" x14ac:dyDescent="0.35">
      <c r="A257" s="16">
        <v>245</v>
      </c>
      <c r="B257" s="17">
        <f t="shared" si="15"/>
        <v>3880332768356812</v>
      </c>
      <c r="C257" s="17">
        <f t="shared" si="16"/>
        <v>11727599</v>
      </c>
      <c r="D257" s="17">
        <f t="shared" si="17"/>
        <v>2.1844355470852388E-2</v>
      </c>
      <c r="E257" s="18">
        <f t="shared" si="18"/>
        <v>0.24900198279970781</v>
      </c>
    </row>
    <row r="258" spans="1:5" x14ac:dyDescent="0.35">
      <c r="A258" s="16">
        <v>246</v>
      </c>
      <c r="B258" s="17">
        <f t="shared" si="15"/>
        <v>495409125716111</v>
      </c>
      <c r="C258" s="17">
        <f t="shared" si="16"/>
        <v>218301730</v>
      </c>
      <c r="D258" s="17">
        <f t="shared" si="17"/>
        <v>0.40661865996799862</v>
      </c>
      <c r="E258" s="18">
        <f t="shared" si="18"/>
        <v>5.8840813694574114</v>
      </c>
    </row>
    <row r="259" spans="1:5" x14ac:dyDescent="0.35">
      <c r="A259" s="16">
        <v>247</v>
      </c>
      <c r="B259" s="17">
        <f>$B$2*C258+$B$3</f>
        <v>9221722413864552</v>
      </c>
      <c r="C259" s="17">
        <f>MOD(B259,$B$4)</f>
        <v>297283396</v>
      </c>
      <c r="D259" s="17">
        <f>C259/($B$4-1)</f>
        <v>0.55373347756912361</v>
      </c>
      <c r="E259" s="18">
        <f t="shared" si="18"/>
        <v>9.0962674353834654</v>
      </c>
    </row>
    <row r="260" spans="1:5" x14ac:dyDescent="0.35">
      <c r="A260" s="16">
        <v>248</v>
      </c>
      <c r="B260" s="17">
        <f t="shared" ref="B260:B323" si="19">$B$2*C259+$B$3</f>
        <v>1.2558145799500878E+16</v>
      </c>
      <c r="C260" s="17">
        <f t="shared" ref="C260:C323" si="20">MOD(B260,$B$4)</f>
        <v>214933719</v>
      </c>
      <c r="D260" s="17">
        <f t="shared" ref="D260:D323" si="21">C260/($B$4-1)</f>
        <v>0.40034525059292186</v>
      </c>
      <c r="E260" s="18">
        <f t="shared" si="18"/>
        <v>5.7655152991785208</v>
      </c>
    </row>
    <row r="261" spans="1:5" x14ac:dyDescent="0.35">
      <c r="A261" s="16">
        <v>249</v>
      </c>
      <c r="B261" s="17">
        <f t="shared" si="19"/>
        <v>9079447488143430</v>
      </c>
      <c r="C261" s="17">
        <f t="shared" si="20"/>
        <v>457944562</v>
      </c>
      <c r="D261" s="17">
        <f t="shared" si="21"/>
        <v>0.85298822020362397</v>
      </c>
      <c r="E261" s="18">
        <f t="shared" si="18"/>
        <v>21.614910493176858</v>
      </c>
    </row>
    <row r="262" spans="1:5" x14ac:dyDescent="0.35">
      <c r="A262" s="16">
        <v>250</v>
      </c>
      <c r="B262" s="17">
        <f t="shared" si="19"/>
        <v>1.9344957202111704E+16</v>
      </c>
      <c r="C262" s="17">
        <f t="shared" si="20"/>
        <v>408940014</v>
      </c>
      <c r="D262" s="17">
        <f t="shared" si="21"/>
        <v>0.76171013624113104</v>
      </c>
      <c r="E262" s="18">
        <f t="shared" si="18"/>
        <v>16.169869576259448</v>
      </c>
    </row>
    <row r="263" spans="1:5" x14ac:dyDescent="0.35">
      <c r="A263" s="16">
        <v>251</v>
      </c>
      <c r="B263" s="17">
        <f t="shared" si="19"/>
        <v>1.7274857541897676E+16</v>
      </c>
      <c r="C263" s="17">
        <f t="shared" si="20"/>
        <v>356485357</v>
      </c>
      <c r="D263" s="17">
        <f t="shared" si="21"/>
        <v>0.66400572346153008</v>
      </c>
      <c r="E263" s="18">
        <f t="shared" si="18"/>
        <v>12.296067116975328</v>
      </c>
    </row>
    <row r="264" spans="1:5" x14ac:dyDescent="0.35">
      <c r="A264" s="16">
        <v>252</v>
      </c>
      <c r="B264" s="17">
        <f t="shared" si="19"/>
        <v>1.505901488924545E+16</v>
      </c>
      <c r="C264" s="17">
        <f t="shared" si="20"/>
        <v>47188939</v>
      </c>
      <c r="D264" s="17">
        <f t="shared" si="21"/>
        <v>8.7896248653144576E-2</v>
      </c>
      <c r="E264" s="18">
        <f t="shared" si="18"/>
        <v>1.0372213408853901</v>
      </c>
    </row>
    <row r="265" spans="1:5" x14ac:dyDescent="0.35">
      <c r="A265" s="16">
        <v>253</v>
      </c>
      <c r="B265" s="17">
        <f t="shared" si="19"/>
        <v>1993402901410851</v>
      </c>
      <c r="C265" s="17">
        <f t="shared" si="20"/>
        <v>135126029</v>
      </c>
      <c r="D265" s="17">
        <f t="shared" si="21"/>
        <v>0.25169184338931683</v>
      </c>
      <c r="E265" s="18">
        <f t="shared" si="18"/>
        <v>3.2687757809157509</v>
      </c>
    </row>
    <row r="266" spans="1:5" x14ac:dyDescent="0.35">
      <c r="A266" s="16">
        <v>254</v>
      </c>
      <c r="B266" s="17">
        <f t="shared" si="19"/>
        <v>5708130361588841</v>
      </c>
      <c r="C266" s="17">
        <f t="shared" si="20"/>
        <v>187365510</v>
      </c>
      <c r="D266" s="17">
        <f t="shared" si="21"/>
        <v>0.34899545963479378</v>
      </c>
      <c r="E266" s="18">
        <f t="shared" si="18"/>
        <v>4.8392182903107965</v>
      </c>
    </row>
    <row r="267" spans="1:5" x14ac:dyDescent="0.35">
      <c r="A267" s="16">
        <v>255</v>
      </c>
      <c r="B267" s="17">
        <f t="shared" si="19"/>
        <v>7914883332106132</v>
      </c>
      <c r="C267" s="17">
        <f t="shared" si="20"/>
        <v>39050223</v>
      </c>
      <c r="D267" s="17">
        <f t="shared" si="21"/>
        <v>7.2736708718302512E-2</v>
      </c>
      <c r="E267" s="18">
        <f t="shared" si="18"/>
        <v>0.85138363730190869</v>
      </c>
    </row>
    <row r="268" spans="1:5" x14ac:dyDescent="0.35">
      <c r="A268" s="16">
        <v>256</v>
      </c>
      <c r="B268" s="17">
        <f t="shared" si="19"/>
        <v>1649599031896975</v>
      </c>
      <c r="C268" s="17">
        <f t="shared" si="20"/>
        <v>343952888</v>
      </c>
      <c r="D268" s="17">
        <f t="shared" si="21"/>
        <v>0.6406621807838313</v>
      </c>
      <c r="E268" s="18">
        <f t="shared" si="18"/>
        <v>11.538808707499808</v>
      </c>
    </row>
    <row r="269" spans="1:5" x14ac:dyDescent="0.35">
      <c r="A269" s="16">
        <v>257</v>
      </c>
      <c r="B269" s="17">
        <f t="shared" si="19"/>
        <v>1.452960566342129E+16</v>
      </c>
      <c r="C269" s="17">
        <f t="shared" si="20"/>
        <v>300443701</v>
      </c>
      <c r="D269" s="17">
        <f t="shared" si="21"/>
        <v>0.55962000436939296</v>
      </c>
      <c r="E269" s="18">
        <f t="shared" si="18"/>
        <v>9.2459672868925296</v>
      </c>
    </row>
    <row r="270" spans="1:5" x14ac:dyDescent="0.35">
      <c r="A270" s="16">
        <v>258</v>
      </c>
      <c r="B270" s="17">
        <f t="shared" si="19"/>
        <v>1.2691646598379234E+16</v>
      </c>
      <c r="C270" s="17">
        <f t="shared" si="20"/>
        <v>8728260</v>
      </c>
      <c r="D270" s="17">
        <f t="shared" si="21"/>
        <v>1.6257651210791063E-2</v>
      </c>
      <c r="E270" s="18">
        <f t="shared" ref="E270:E333" si="22">(-1/$B$6) * LN(1-D270)</f>
        <v>0.1847943278185768</v>
      </c>
    </row>
    <row r="271" spans="1:5" x14ac:dyDescent="0.35">
      <c r="A271" s="16">
        <v>259</v>
      </c>
      <c r="B271" s="17">
        <f t="shared" si="19"/>
        <v>368708015346382</v>
      </c>
      <c r="C271" s="17">
        <f t="shared" si="20"/>
        <v>106057090</v>
      </c>
      <c r="D271" s="17">
        <f t="shared" si="21"/>
        <v>0.19754672496596995</v>
      </c>
      <c r="E271" s="18">
        <f t="shared" si="22"/>
        <v>2.4811910927815592</v>
      </c>
    </row>
    <row r="272" spans="1:5" x14ac:dyDescent="0.35">
      <c r="A272" s="16">
        <v>260</v>
      </c>
      <c r="B272" s="17">
        <f t="shared" si="19"/>
        <v>4480170851653512</v>
      </c>
      <c r="C272" s="17">
        <f t="shared" si="20"/>
        <v>279227664</v>
      </c>
      <c r="D272" s="17">
        <f t="shared" si="21"/>
        <v>0.52010205581822266</v>
      </c>
      <c r="E272" s="18">
        <f t="shared" si="22"/>
        <v>8.2771343176348537</v>
      </c>
    </row>
    <row r="273" spans="1:5" x14ac:dyDescent="0.35">
      <c r="A273" s="16">
        <v>261</v>
      </c>
      <c r="B273" s="17">
        <f t="shared" si="19"/>
        <v>1.1795417314011826E+16</v>
      </c>
      <c r="C273" s="17">
        <f t="shared" si="20"/>
        <v>474605990</v>
      </c>
      <c r="D273" s="17">
        <f t="shared" si="21"/>
        <v>0.88402254836269667</v>
      </c>
      <c r="E273" s="18">
        <f t="shared" si="22"/>
        <v>24.288156586330636</v>
      </c>
    </row>
    <row r="274" spans="1:5" x14ac:dyDescent="0.35">
      <c r="A274" s="16">
        <v>262</v>
      </c>
      <c r="B274" s="17">
        <f t="shared" si="19"/>
        <v>2.0048786088391408E+16</v>
      </c>
      <c r="C274" s="17">
        <f t="shared" si="20"/>
        <v>120833294</v>
      </c>
      <c r="D274" s="17">
        <f t="shared" si="21"/>
        <v>0.22506954977314753</v>
      </c>
      <c r="E274" s="18">
        <f t="shared" si="22"/>
        <v>2.8746560913030805</v>
      </c>
    </row>
    <row r="275" spans="1:5" x14ac:dyDescent="0.35">
      <c r="A275" s="16">
        <v>263</v>
      </c>
      <c r="B275" s="17">
        <f t="shared" si="19"/>
        <v>5104362199763756</v>
      </c>
      <c r="C275" s="17">
        <f t="shared" si="20"/>
        <v>273276491</v>
      </c>
      <c r="D275" s="17">
        <f t="shared" si="21"/>
        <v>0.5090171322562439</v>
      </c>
      <c r="E275" s="18">
        <f t="shared" si="22"/>
        <v>8.0196848294846088</v>
      </c>
    </row>
    <row r="276" spans="1:5" x14ac:dyDescent="0.35">
      <c r="A276" s="16">
        <v>264</v>
      </c>
      <c r="B276" s="17">
        <f t="shared" si="19"/>
        <v>1.1544021847509922E+16</v>
      </c>
      <c r="C276" s="17">
        <f t="shared" si="20"/>
        <v>180888946</v>
      </c>
      <c r="D276" s="17">
        <f t="shared" si="21"/>
        <v>0.33693191907156972</v>
      </c>
      <c r="E276" s="18">
        <f t="shared" si="22"/>
        <v>4.6322165490594873</v>
      </c>
    </row>
    <row r="277" spans="1:5" x14ac:dyDescent="0.35">
      <c r="A277" s="16">
        <v>265</v>
      </c>
      <c r="B277" s="17">
        <f t="shared" si="19"/>
        <v>7641293767811928</v>
      </c>
      <c r="C277" s="17">
        <f t="shared" si="20"/>
        <v>427872530</v>
      </c>
      <c r="D277" s="17">
        <f t="shared" si="21"/>
        <v>0.79697469546263922</v>
      </c>
      <c r="E277" s="18">
        <f t="shared" si="22"/>
        <v>17.975475251583688</v>
      </c>
    </row>
    <row r="278" spans="1:5" x14ac:dyDescent="0.35">
      <c r="A278" s="16">
        <v>266</v>
      </c>
      <c r="B278" s="17">
        <f t="shared" si="19"/>
        <v>1.8074624023543352E+16</v>
      </c>
      <c r="C278" s="17">
        <f t="shared" si="20"/>
        <v>442561642</v>
      </c>
      <c r="D278" s="17">
        <f t="shared" si="21"/>
        <v>0.8243352987778757</v>
      </c>
      <c r="E278" s="18">
        <f t="shared" si="22"/>
        <v>19.607420604964283</v>
      </c>
    </row>
    <row r="279" spans="1:5" x14ac:dyDescent="0.35">
      <c r="A279" s="16">
        <v>267</v>
      </c>
      <c r="B279" s="17">
        <f t="shared" si="19"/>
        <v>1.8695136343339584E+16</v>
      </c>
      <c r="C279" s="17">
        <f t="shared" si="20"/>
        <v>47778629</v>
      </c>
      <c r="D279" s="17">
        <f t="shared" si="21"/>
        <v>8.8994631875286376E-2</v>
      </c>
      <c r="E279" s="18">
        <f t="shared" si="22"/>
        <v>1.0508059659158588</v>
      </c>
    </row>
    <row r="280" spans="1:5" x14ac:dyDescent="0.35">
      <c r="A280" s="16">
        <v>268</v>
      </c>
      <c r="B280" s="17">
        <f t="shared" si="19"/>
        <v>2018313182567441</v>
      </c>
      <c r="C280" s="17">
        <f t="shared" si="20"/>
        <v>142883130</v>
      </c>
      <c r="D280" s="17">
        <f t="shared" si="21"/>
        <v>0.2661405699928871</v>
      </c>
      <c r="E280" s="18">
        <f t="shared" si="22"/>
        <v>3.4885882859112098</v>
      </c>
    </row>
    <row r="281" spans="1:5" x14ac:dyDescent="0.35">
      <c r="A281" s="16">
        <v>269</v>
      </c>
      <c r="B281" s="17">
        <f t="shared" si="19"/>
        <v>6035813664459952</v>
      </c>
      <c r="C281" s="17">
        <f t="shared" si="20"/>
        <v>34740483</v>
      </c>
      <c r="D281" s="17">
        <f t="shared" si="21"/>
        <v>6.4709192382951058E-2</v>
      </c>
      <c r="E281" s="18">
        <f t="shared" si="22"/>
        <v>0.75420263655117603</v>
      </c>
    </row>
    <row r="282" spans="1:5" x14ac:dyDescent="0.35">
      <c r="A282" s="16">
        <v>270</v>
      </c>
      <c r="B282" s="17">
        <f t="shared" si="19"/>
        <v>1467542637669835</v>
      </c>
      <c r="C282" s="17">
        <f t="shared" si="20"/>
        <v>96871314</v>
      </c>
      <c r="D282" s="17">
        <f t="shared" si="21"/>
        <v>0.18043688379390868</v>
      </c>
      <c r="E282" s="18">
        <f t="shared" si="22"/>
        <v>2.2433355785657545</v>
      </c>
    </row>
    <row r="283" spans="1:5" x14ac:dyDescent="0.35">
      <c r="A283" s="16">
        <v>271</v>
      </c>
      <c r="B283" s="17">
        <f t="shared" si="19"/>
        <v>4092136015041976</v>
      </c>
      <c r="C283" s="17">
        <f t="shared" si="20"/>
        <v>167830509</v>
      </c>
      <c r="D283" s="17">
        <f t="shared" si="21"/>
        <v>0.31260868464637059</v>
      </c>
      <c r="E283" s="18">
        <f t="shared" si="22"/>
        <v>4.2260603009785411</v>
      </c>
    </row>
    <row r="284" spans="1:5" x14ac:dyDescent="0.35">
      <c r="A284" s="16">
        <v>272</v>
      </c>
      <c r="B284" s="17">
        <f t="shared" si="19"/>
        <v>7089666069978121</v>
      </c>
      <c r="C284" s="17">
        <f t="shared" si="20"/>
        <v>74898469</v>
      </c>
      <c r="D284" s="17">
        <f t="shared" si="21"/>
        <v>0.13950927048738773</v>
      </c>
      <c r="E284" s="18">
        <f t="shared" si="22"/>
        <v>1.6939395350787436</v>
      </c>
    </row>
    <row r="285" spans="1:5" x14ac:dyDescent="0.35">
      <c r="A285" s="16">
        <v>273</v>
      </c>
      <c r="B285" s="17">
        <f t="shared" si="19"/>
        <v>3163936882005681</v>
      </c>
      <c r="C285" s="17">
        <f t="shared" si="20"/>
        <v>374047580</v>
      </c>
      <c r="D285" s="17">
        <f t="shared" si="21"/>
        <v>0.69671791306405484</v>
      </c>
      <c r="E285" s="18">
        <f t="shared" si="22"/>
        <v>13.450867266958717</v>
      </c>
    </row>
    <row r="286" spans="1:5" x14ac:dyDescent="0.35">
      <c r="A286" s="16">
        <v>274</v>
      </c>
      <c r="B286" s="17">
        <f t="shared" si="19"/>
        <v>1.5800896068618902E+16</v>
      </c>
      <c r="C286" s="17">
        <f t="shared" si="20"/>
        <v>252617020</v>
      </c>
      <c r="D286" s="17">
        <f t="shared" si="21"/>
        <v>0.47053586866906238</v>
      </c>
      <c r="E286" s="18">
        <f t="shared" si="22"/>
        <v>7.1689950042336088</v>
      </c>
    </row>
    <row r="287" spans="1:5" x14ac:dyDescent="0.35">
      <c r="A287" s="16">
        <v>275</v>
      </c>
      <c r="B287" s="17">
        <f t="shared" si="19"/>
        <v>1.0671303586802742E+16</v>
      </c>
      <c r="C287" s="17">
        <f t="shared" si="20"/>
        <v>482621481</v>
      </c>
      <c r="D287" s="17">
        <f t="shared" si="21"/>
        <v>0.89895256384816979</v>
      </c>
      <c r="E287" s="18">
        <f t="shared" si="22"/>
        <v>25.841772350950336</v>
      </c>
    </row>
    <row r="288" spans="1:5" x14ac:dyDescent="0.35">
      <c r="A288" s="16">
        <v>276</v>
      </c>
      <c r="B288" s="17">
        <f t="shared" si="19"/>
        <v>2.0387384562874816E+16</v>
      </c>
      <c r="C288" s="17">
        <f t="shared" si="20"/>
        <v>17329023</v>
      </c>
      <c r="D288" s="17">
        <f t="shared" si="21"/>
        <v>3.2277820752105939E-2</v>
      </c>
      <c r="E288" s="18">
        <f t="shared" si="22"/>
        <v>0.36990121542899002</v>
      </c>
    </row>
    <row r="289" spans="1:5" x14ac:dyDescent="0.35">
      <c r="A289" s="16">
        <v>277</v>
      </c>
      <c r="B289" s="17">
        <f t="shared" si="19"/>
        <v>732030141363775</v>
      </c>
      <c r="C289" s="17">
        <f t="shared" si="20"/>
        <v>211764343</v>
      </c>
      <c r="D289" s="17">
        <f t="shared" si="21"/>
        <v>0.39444182773844089</v>
      </c>
      <c r="E289" s="18">
        <f t="shared" si="22"/>
        <v>5.6550693067026554</v>
      </c>
    </row>
    <row r="290" spans="1:5" x14ac:dyDescent="0.35">
      <c r="A290" s="16">
        <v>278</v>
      </c>
      <c r="B290" s="17">
        <f t="shared" si="19"/>
        <v>8945563502912295</v>
      </c>
      <c r="C290" s="17">
        <f t="shared" si="20"/>
        <v>266756785</v>
      </c>
      <c r="D290" s="17">
        <f t="shared" si="21"/>
        <v>0.49687323345569234</v>
      </c>
      <c r="E290" s="18">
        <f t="shared" si="22"/>
        <v>7.7442290831060632</v>
      </c>
    </row>
    <row r="291" spans="1:5" x14ac:dyDescent="0.35">
      <c r="A291" s="16">
        <v>279</v>
      </c>
      <c r="B291" s="17">
        <f t="shared" si="19"/>
        <v>1.1268609835235158E+16</v>
      </c>
      <c r="C291" s="17">
        <f t="shared" si="20"/>
        <v>261602627</v>
      </c>
      <c r="D291" s="17">
        <f t="shared" si="21"/>
        <v>0.48727286602285824</v>
      </c>
      <c r="E291" s="18">
        <f t="shared" si="22"/>
        <v>7.5311327835444999</v>
      </c>
    </row>
    <row r="292" spans="1:5" x14ac:dyDescent="0.35">
      <c r="A292" s="16">
        <v>280</v>
      </c>
      <c r="B292" s="17">
        <f t="shared" si="19"/>
        <v>1.1050882682145418E+16</v>
      </c>
      <c r="C292" s="17">
        <f t="shared" si="20"/>
        <v>32727115</v>
      </c>
      <c r="D292" s="17">
        <f t="shared" si="21"/>
        <v>6.0959002230163671E-2</v>
      </c>
      <c r="E292" s="18">
        <f t="shared" si="22"/>
        <v>0.70908838365563498</v>
      </c>
    </row>
    <row r="293" spans="1:5" x14ac:dyDescent="0.35">
      <c r="A293" s="16">
        <v>281</v>
      </c>
      <c r="B293" s="17">
        <f t="shared" si="19"/>
        <v>1382491911098787</v>
      </c>
      <c r="C293" s="17">
        <f t="shared" si="20"/>
        <v>460020886</v>
      </c>
      <c r="D293" s="17">
        <f t="shared" si="21"/>
        <v>0.85685567504486315</v>
      </c>
      <c r="E293" s="18">
        <f t="shared" si="22"/>
        <v>21.915466654651762</v>
      </c>
    </row>
    <row r="294" spans="1:5" x14ac:dyDescent="0.35">
      <c r="A294" s="16">
        <v>282</v>
      </c>
      <c r="B294" s="17">
        <f t="shared" si="19"/>
        <v>1.9432667379683264E+16</v>
      </c>
      <c r="C294" s="17">
        <f t="shared" si="20"/>
        <v>375168771</v>
      </c>
      <c r="D294" s="17">
        <f t="shared" si="21"/>
        <v>0.69880629404934602</v>
      </c>
      <c r="E294" s="18">
        <f t="shared" si="22"/>
        <v>13.528767529345087</v>
      </c>
    </row>
    <row r="295" spans="1:5" x14ac:dyDescent="0.35">
      <c r="A295" s="16">
        <v>283</v>
      </c>
      <c r="B295" s="17">
        <f t="shared" si="19"/>
        <v>1.5848258552365002E+16</v>
      </c>
      <c r="C295" s="17">
        <f t="shared" si="20"/>
        <v>521465611</v>
      </c>
      <c r="D295" s="17">
        <f t="shared" si="21"/>
        <v>0.97130539443830177</v>
      </c>
      <c r="E295" s="18">
        <f t="shared" si="22"/>
        <v>40.034341977518338</v>
      </c>
    </row>
    <row r="296" spans="1:5" x14ac:dyDescent="0.35">
      <c r="A296" s="16">
        <v>284</v>
      </c>
      <c r="B296" s="17">
        <f t="shared" si="19"/>
        <v>2.202827757375024E+16</v>
      </c>
      <c r="C296" s="17">
        <f t="shared" si="20"/>
        <v>238953136</v>
      </c>
      <c r="D296" s="17">
        <f t="shared" si="21"/>
        <v>0.44508490132199563</v>
      </c>
      <c r="E296" s="18">
        <f t="shared" si="22"/>
        <v>6.6396860461394889</v>
      </c>
    </row>
    <row r="297" spans="1:5" x14ac:dyDescent="0.35">
      <c r="A297" s="16">
        <v>285</v>
      </c>
      <c r="B297" s="17">
        <f t="shared" si="19"/>
        <v>1.0094099984688018E+16</v>
      </c>
      <c r="C297" s="17">
        <f t="shared" si="20"/>
        <v>218695632</v>
      </c>
      <c r="D297" s="17">
        <f t="shared" si="21"/>
        <v>0.40735235962030425</v>
      </c>
      <c r="E297" s="18">
        <f t="shared" si="22"/>
        <v>5.8980299316585327</v>
      </c>
    </row>
    <row r="298" spans="1:5" x14ac:dyDescent="0.35">
      <c r="A298" s="16">
        <v>286</v>
      </c>
      <c r="B298" s="17">
        <f t="shared" si="19"/>
        <v>9238362020383474</v>
      </c>
      <c r="C298" s="17">
        <f t="shared" si="20"/>
        <v>126786784</v>
      </c>
      <c r="D298" s="17">
        <f t="shared" si="21"/>
        <v>0.23615878908395316</v>
      </c>
      <c r="E298" s="18">
        <f t="shared" si="22"/>
        <v>3.0371516407246961</v>
      </c>
    </row>
    <row r="299" spans="1:5" x14ac:dyDescent="0.35">
      <c r="A299" s="16">
        <v>287</v>
      </c>
      <c r="B299" s="17">
        <f t="shared" si="19"/>
        <v>5355855543322146</v>
      </c>
      <c r="C299" s="17">
        <f t="shared" si="20"/>
        <v>196673308</v>
      </c>
      <c r="D299" s="17">
        <f t="shared" si="21"/>
        <v>0.36633258449410122</v>
      </c>
      <c r="E299" s="18">
        <f t="shared" si="22"/>
        <v>5.143529237956681</v>
      </c>
    </row>
    <row r="300" spans="1:5" x14ac:dyDescent="0.35">
      <c r="A300" s="16">
        <v>288</v>
      </c>
      <c r="B300" s="17">
        <f t="shared" si="19"/>
        <v>8308072745405910</v>
      </c>
      <c r="C300" s="17">
        <f t="shared" si="20"/>
        <v>229519109</v>
      </c>
      <c r="D300" s="17">
        <f t="shared" si="21"/>
        <v>0.42751265662727006</v>
      </c>
      <c r="E300" s="18">
        <f t="shared" si="22"/>
        <v>6.2882147851635448</v>
      </c>
    </row>
    <row r="301" spans="1:5" x14ac:dyDescent="0.35">
      <c r="A301" s="16">
        <v>289</v>
      </c>
      <c r="B301" s="17">
        <f t="shared" si="19"/>
        <v>9695578278352722</v>
      </c>
      <c r="C301" s="17">
        <f t="shared" si="20"/>
        <v>473950191</v>
      </c>
      <c r="D301" s="17">
        <f t="shared" si="21"/>
        <v>0.88280102753192569</v>
      </c>
      <c r="E301" s="18">
        <f t="shared" si="22"/>
        <v>24.170035729593099</v>
      </c>
    </row>
    <row r="302" spans="1:5" x14ac:dyDescent="0.35">
      <c r="A302" s="16">
        <v>290</v>
      </c>
      <c r="B302" s="17">
        <f t="shared" si="19"/>
        <v>2.0021083164020624E+16</v>
      </c>
      <c r="C302" s="17">
        <f t="shared" si="20"/>
        <v>272341021</v>
      </c>
      <c r="D302" s="17">
        <f t="shared" si="21"/>
        <v>0.50727468359200167</v>
      </c>
      <c r="E302" s="18">
        <f t="shared" si="22"/>
        <v>7.9797455213570352</v>
      </c>
    </row>
    <row r="303" spans="1:5" x14ac:dyDescent="0.35">
      <c r="A303" s="16">
        <v>291</v>
      </c>
      <c r="B303" s="17">
        <f t="shared" si="19"/>
        <v>1.1504504778009754E+16</v>
      </c>
      <c r="C303" s="17">
        <f t="shared" si="20"/>
        <v>31663844</v>
      </c>
      <c r="D303" s="17">
        <f t="shared" si="21"/>
        <v>5.8978505652317798E-2</v>
      </c>
      <c r="E303" s="18">
        <f t="shared" si="22"/>
        <v>0.68533593720789254</v>
      </c>
    </row>
    <row r="304" spans="1:5" x14ac:dyDescent="0.35">
      <c r="A304" s="16">
        <v>292</v>
      </c>
      <c r="B304" s="17">
        <f t="shared" si="19"/>
        <v>1337576142549806</v>
      </c>
      <c r="C304" s="17">
        <f t="shared" si="20"/>
        <v>385627987</v>
      </c>
      <c r="D304" s="17">
        <f t="shared" si="21"/>
        <v>0.71828810206908023</v>
      </c>
      <c r="E304" s="18">
        <f t="shared" si="22"/>
        <v>14.282642263982339</v>
      </c>
    </row>
    <row r="305" spans="1:5" x14ac:dyDescent="0.35">
      <c r="A305" s="16">
        <v>293</v>
      </c>
      <c r="B305" s="17">
        <f t="shared" si="19"/>
        <v>1.6290087328904378E+16</v>
      </c>
      <c r="C305" s="17">
        <f t="shared" si="20"/>
        <v>107508406</v>
      </c>
      <c r="D305" s="17">
        <f t="shared" si="21"/>
        <v>0.20025001168344175</v>
      </c>
      <c r="E305" s="18">
        <f t="shared" si="22"/>
        <v>2.5192346647280419</v>
      </c>
    </row>
    <row r="306" spans="1:5" x14ac:dyDescent="0.35">
      <c r="A306" s="16">
        <v>294</v>
      </c>
      <c r="B306" s="17">
        <f t="shared" si="19"/>
        <v>4541478809405988</v>
      </c>
      <c r="C306" s="17">
        <f t="shared" si="20"/>
        <v>263298495</v>
      </c>
      <c r="D306" s="17">
        <f t="shared" si="21"/>
        <v>0.49043166633856172</v>
      </c>
      <c r="E306" s="18">
        <f t="shared" si="22"/>
        <v>7.6008040163674391</v>
      </c>
    </row>
    <row r="307" spans="1:5" x14ac:dyDescent="0.35">
      <c r="A307" s="16">
        <v>295</v>
      </c>
      <c r="B307" s="17">
        <f t="shared" si="19"/>
        <v>1.1122521252723966E+16</v>
      </c>
      <c r="C307" s="17">
        <f t="shared" si="20"/>
        <v>159554556</v>
      </c>
      <c r="D307" s="17">
        <f t="shared" si="21"/>
        <v>0.29719352087823125</v>
      </c>
      <c r="E307" s="18">
        <f t="shared" si="22"/>
        <v>3.9760282266008735</v>
      </c>
    </row>
    <row r="308" spans="1:5" x14ac:dyDescent="0.35">
      <c r="A308" s="16">
        <v>296</v>
      </c>
      <c r="B308" s="17">
        <f t="shared" si="19"/>
        <v>6740064896363638</v>
      </c>
      <c r="C308" s="17">
        <f t="shared" si="20"/>
        <v>111721699</v>
      </c>
      <c r="D308" s="17">
        <f t="shared" si="21"/>
        <v>0.20809788148141609</v>
      </c>
      <c r="E308" s="18">
        <f t="shared" si="22"/>
        <v>2.6304113025294762</v>
      </c>
    </row>
    <row r="309" spans="1:5" x14ac:dyDescent="0.35">
      <c r="A309" s="16">
        <v>297</v>
      </c>
      <c r="B309" s="17">
        <f t="shared" si="19"/>
        <v>4719460991951211</v>
      </c>
      <c r="C309" s="17">
        <f t="shared" si="20"/>
        <v>75170820</v>
      </c>
      <c r="D309" s="17">
        <f t="shared" si="21"/>
        <v>0.14001656375831575</v>
      </c>
      <c r="E309" s="18">
        <f t="shared" si="22"/>
        <v>1.7005879380400386</v>
      </c>
    </row>
    <row r="310" spans="1:5" x14ac:dyDescent="0.35">
      <c r="A310" s="16">
        <v>298</v>
      </c>
      <c r="B310" s="17">
        <f t="shared" si="19"/>
        <v>3175441808294542</v>
      </c>
      <c r="C310" s="17">
        <f t="shared" si="20"/>
        <v>156713711</v>
      </c>
      <c r="D310" s="17">
        <f t="shared" si="21"/>
        <v>0.29190203469955189</v>
      </c>
      <c r="E310" s="18">
        <f t="shared" si="22"/>
        <v>3.8914636504183129</v>
      </c>
    </row>
    <row r="311" spans="1:5" x14ac:dyDescent="0.35">
      <c r="A311" s="16">
        <v>299</v>
      </c>
      <c r="B311" s="17">
        <f t="shared" si="19"/>
        <v>6620059049779343</v>
      </c>
      <c r="C311" s="17">
        <f t="shared" si="20"/>
        <v>483002323</v>
      </c>
      <c r="D311" s="17">
        <f t="shared" si="21"/>
        <v>0.89966193735473576</v>
      </c>
      <c r="E311" s="18">
        <f t="shared" si="22"/>
        <v>25.921196933629382</v>
      </c>
    </row>
    <row r="312" spans="1:5" x14ac:dyDescent="0.35">
      <c r="A312" s="16">
        <v>300</v>
      </c>
      <c r="B312" s="17">
        <f t="shared" si="19"/>
        <v>2.0403472475670072E+16</v>
      </c>
      <c r="C312" s="17">
        <f t="shared" si="20"/>
        <v>56405253</v>
      </c>
      <c r="D312" s="17">
        <f t="shared" si="21"/>
        <v>0.10506297128298496</v>
      </c>
      <c r="E312" s="18">
        <f t="shared" si="22"/>
        <v>1.2514309149717322</v>
      </c>
    </row>
    <row r="313" spans="1:5" x14ac:dyDescent="0.35">
      <c r="A313" s="16">
        <v>301</v>
      </c>
      <c r="B313" s="17">
        <f t="shared" si="19"/>
        <v>2382727755092305</v>
      </c>
      <c r="C313" s="17">
        <f t="shared" si="20"/>
        <v>162793969</v>
      </c>
      <c r="D313" s="17">
        <f t="shared" si="21"/>
        <v>0.30322739781151486</v>
      </c>
      <c r="E313" s="18">
        <f t="shared" si="22"/>
        <v>4.0732375839209771</v>
      </c>
    </row>
    <row r="314" spans="1:5" x14ac:dyDescent="0.35">
      <c r="A314" s="16">
        <v>302</v>
      </c>
      <c r="B314" s="17">
        <f t="shared" si="19"/>
        <v>6876907455356181</v>
      </c>
      <c r="C314" s="17">
        <f t="shared" si="20"/>
        <v>181080363</v>
      </c>
      <c r="D314" s="17">
        <f t="shared" si="21"/>
        <v>0.33728846101942828</v>
      </c>
      <c r="E314" s="18">
        <f t="shared" si="22"/>
        <v>4.638280360392943</v>
      </c>
    </row>
    <row r="315" spans="1:5" x14ac:dyDescent="0.35">
      <c r="A315" s="16">
        <v>303</v>
      </c>
      <c r="B315" s="17">
        <f t="shared" si="19"/>
        <v>7649379798248515</v>
      </c>
      <c r="C315" s="17">
        <f t="shared" si="20"/>
        <v>108647635</v>
      </c>
      <c r="D315" s="17">
        <f t="shared" si="21"/>
        <v>0.20237199106205997</v>
      </c>
      <c r="E315" s="18">
        <f t="shared" si="22"/>
        <v>2.5491876485804741</v>
      </c>
    </row>
    <row r="316" spans="1:5" x14ac:dyDescent="0.35">
      <c r="A316" s="16">
        <v>304</v>
      </c>
      <c r="B316" s="17">
        <f t="shared" si="19"/>
        <v>4589603272584507</v>
      </c>
      <c r="C316" s="17">
        <f t="shared" si="20"/>
        <v>154885885</v>
      </c>
      <c r="D316" s="17">
        <f t="shared" si="21"/>
        <v>0.28849744345433059</v>
      </c>
      <c r="E316" s="18">
        <f t="shared" si="22"/>
        <v>3.8373874665316428</v>
      </c>
    </row>
    <row r="317" spans="1:5" x14ac:dyDescent="0.35">
      <c r="A317" s="16">
        <v>305</v>
      </c>
      <c r="B317" s="17">
        <f t="shared" si="19"/>
        <v>6542846175955257</v>
      </c>
      <c r="C317" s="17">
        <f t="shared" si="20"/>
        <v>383598257</v>
      </c>
      <c r="D317" s="17">
        <f t="shared" si="21"/>
        <v>0.71450743531624761</v>
      </c>
      <c r="E317" s="18">
        <f t="shared" si="22"/>
        <v>14.132348290466986</v>
      </c>
    </row>
    <row r="318" spans="1:5" x14ac:dyDescent="0.35">
      <c r="A318" s="16">
        <v>306</v>
      </c>
      <c r="B318" s="17">
        <f t="shared" si="19"/>
        <v>1.620434542218735E+16</v>
      </c>
      <c r="C318" s="17">
        <f t="shared" si="20"/>
        <v>243374455</v>
      </c>
      <c r="D318" s="17">
        <f t="shared" si="21"/>
        <v>0.45332024974122737</v>
      </c>
      <c r="E318" s="18">
        <f t="shared" si="22"/>
        <v>6.8082538186945678</v>
      </c>
    </row>
    <row r="319" spans="1:5" x14ac:dyDescent="0.35">
      <c r="A319" s="16">
        <v>307</v>
      </c>
      <c r="B319" s="17">
        <f t="shared" si="19"/>
        <v>1.0280869811839526E+16</v>
      </c>
      <c r="C319" s="17">
        <f t="shared" si="20"/>
        <v>172102994</v>
      </c>
      <c r="D319" s="17">
        <f t="shared" si="21"/>
        <v>0.3205668081364289</v>
      </c>
      <c r="E319" s="18">
        <f t="shared" si="22"/>
        <v>4.3573435149703066</v>
      </c>
    </row>
    <row r="320" spans="1:5" x14ac:dyDescent="0.35">
      <c r="A320" s="16">
        <v>308</v>
      </c>
      <c r="B320" s="17">
        <f t="shared" si="19"/>
        <v>7270148700830456</v>
      </c>
      <c r="C320" s="17">
        <f t="shared" si="20"/>
        <v>127245379</v>
      </c>
      <c r="D320" s="17">
        <f t="shared" si="21"/>
        <v>0.23701298883934688</v>
      </c>
      <c r="E320" s="18">
        <f t="shared" si="22"/>
        <v>3.0497663046574144</v>
      </c>
    </row>
    <row r="321" spans="1:5" x14ac:dyDescent="0.35">
      <c r="A321" s="16">
        <v>309</v>
      </c>
      <c r="B321" s="17">
        <f t="shared" si="19"/>
        <v>5375227976951691</v>
      </c>
      <c r="C321" s="17">
        <f t="shared" si="20"/>
        <v>180350329</v>
      </c>
      <c r="D321" s="17">
        <f t="shared" si="21"/>
        <v>0.33592866672548899</v>
      </c>
      <c r="E321" s="18">
        <f t="shared" si="22"/>
        <v>4.6151714277966747</v>
      </c>
    </row>
    <row r="322" spans="1:5" x14ac:dyDescent="0.35">
      <c r="A322" s="16">
        <v>310</v>
      </c>
      <c r="B322" s="17">
        <f t="shared" si="19"/>
        <v>7618540963956141</v>
      </c>
      <c r="C322" s="17">
        <f t="shared" si="20"/>
        <v>213224923</v>
      </c>
      <c r="D322" s="17">
        <f t="shared" si="21"/>
        <v>0.39716237000063942</v>
      </c>
      <c r="E322" s="18">
        <f t="shared" si="22"/>
        <v>5.7058330195136886</v>
      </c>
    </row>
    <row r="323" spans="1:5" x14ac:dyDescent="0.35">
      <c r="A323" s="16">
        <v>311</v>
      </c>
      <c r="B323" s="17">
        <f t="shared" si="19"/>
        <v>9007262799918674</v>
      </c>
      <c r="C323" s="17">
        <f t="shared" si="20"/>
        <v>211187400</v>
      </c>
      <c r="D323" s="17">
        <f t="shared" si="21"/>
        <v>0.39336718765410478</v>
      </c>
      <c r="E323" s="18">
        <f t="shared" si="22"/>
        <v>5.6350799657490924</v>
      </c>
    </row>
    <row r="324" spans="1:5" x14ac:dyDescent="0.35">
      <c r="A324" s="16">
        <v>312</v>
      </c>
      <c r="B324" s="17">
        <f t="shared" ref="B324:B387" si="23">$B$2*C323+$B$3</f>
        <v>8921191693416922</v>
      </c>
      <c r="C324" s="17">
        <f t="shared" ref="C324:C387" si="24">MOD(B324,$B$4)</f>
        <v>249137168</v>
      </c>
      <c r="D324" s="17">
        <f t="shared" ref="D324:D387" si="25">C324/($B$4-1)</f>
        <v>0.46405413919707439</v>
      </c>
      <c r="E324" s="18">
        <f t="shared" si="22"/>
        <v>7.0318165611890873</v>
      </c>
    </row>
    <row r="325" spans="1:5" x14ac:dyDescent="0.35">
      <c r="A325" s="16">
        <v>313</v>
      </c>
      <c r="B325" s="17">
        <f t="shared" si="23"/>
        <v>1.052430416048837E+16</v>
      </c>
      <c r="C325" s="17">
        <f t="shared" si="24"/>
        <v>69835286</v>
      </c>
      <c r="D325" s="17">
        <f t="shared" si="25"/>
        <v>0.13007835719763622</v>
      </c>
      <c r="E325" s="18">
        <f t="shared" si="22"/>
        <v>1.5710500240595251</v>
      </c>
    </row>
    <row r="326" spans="1:5" x14ac:dyDescent="0.35">
      <c r="A326" s="16">
        <v>314</v>
      </c>
      <c r="B326" s="17">
        <f t="shared" si="23"/>
        <v>2950052786841668</v>
      </c>
      <c r="C326" s="17">
        <f t="shared" si="24"/>
        <v>281116857</v>
      </c>
      <c r="D326" s="17">
        <f t="shared" si="25"/>
        <v>0.5236209520087427</v>
      </c>
      <c r="E326" s="18">
        <f t="shared" si="22"/>
        <v>8.3601062270051045</v>
      </c>
    </row>
    <row r="327" spans="1:5" x14ac:dyDescent="0.35">
      <c r="A327" s="16">
        <v>315</v>
      </c>
      <c r="B327" s="17">
        <f t="shared" si="23"/>
        <v>1.187522251469195E+16</v>
      </c>
      <c r="C327" s="17">
        <f t="shared" si="24"/>
        <v>351236875</v>
      </c>
      <c r="D327" s="17">
        <f t="shared" si="25"/>
        <v>0.65422966388698545</v>
      </c>
      <c r="E327" s="18">
        <f t="shared" si="22"/>
        <v>11.972722579207709</v>
      </c>
    </row>
    <row r="328" spans="1:5" x14ac:dyDescent="0.35">
      <c r="A328" s="16">
        <v>316</v>
      </c>
      <c r="B328" s="17">
        <f t="shared" si="23"/>
        <v>1.4837303206386146E+16</v>
      </c>
      <c r="C328" s="17">
        <f t="shared" si="24"/>
        <v>481316216</v>
      </c>
      <c r="D328" s="17">
        <f t="shared" si="25"/>
        <v>0.89652131831840176</v>
      </c>
      <c r="E328" s="18">
        <f t="shared" si="22"/>
        <v>25.573727864522297</v>
      </c>
    </row>
    <row r="329" spans="1:5" x14ac:dyDescent="0.35">
      <c r="A329" s="16">
        <v>317</v>
      </c>
      <c r="B329" s="17">
        <f t="shared" si="23"/>
        <v>2.0332246239121896E+16</v>
      </c>
      <c r="C329" s="17">
        <f t="shared" si="24"/>
        <v>483619447</v>
      </c>
      <c r="D329" s="17">
        <f t="shared" si="25"/>
        <v>0.90081142038409201</v>
      </c>
      <c r="E329" s="18">
        <f t="shared" si="22"/>
        <v>26.051098040116351</v>
      </c>
    </row>
    <row r="330" spans="1:5" x14ac:dyDescent="0.35">
      <c r="A330" s="16">
        <v>318</v>
      </c>
      <c r="B330" s="17">
        <f t="shared" si="23"/>
        <v>2.042954165159044E+16</v>
      </c>
      <c r="C330" s="17">
        <f t="shared" si="24"/>
        <v>391500194</v>
      </c>
      <c r="D330" s="17">
        <f t="shared" si="25"/>
        <v>0.72922593999365692</v>
      </c>
      <c r="E330" s="18">
        <f t="shared" si="22"/>
        <v>14.72909281578217</v>
      </c>
    </row>
    <row r="331" spans="1:5" x14ac:dyDescent="0.35">
      <c r="A331" s="16">
        <v>319</v>
      </c>
      <c r="B331" s="17">
        <f t="shared" si="23"/>
        <v>1.6538147033799656E+16</v>
      </c>
      <c r="C331" s="17">
        <f t="shared" si="24"/>
        <v>218588867</v>
      </c>
      <c r="D331" s="17">
        <f t="shared" si="25"/>
        <v>0.40715349431020575</v>
      </c>
      <c r="E331" s="18">
        <f t="shared" si="22"/>
        <v>5.8942475443478619</v>
      </c>
    </row>
    <row r="332" spans="1:5" x14ac:dyDescent="0.35">
      <c r="A332" s="16">
        <v>320</v>
      </c>
      <c r="B332" s="17">
        <f t="shared" si="23"/>
        <v>9233851945314058</v>
      </c>
      <c r="C332" s="17">
        <f t="shared" si="24"/>
        <v>304240679</v>
      </c>
      <c r="D332" s="17">
        <f t="shared" si="25"/>
        <v>0.56669242704917655</v>
      </c>
      <c r="E332" s="18">
        <f t="shared" si="22"/>
        <v>9.428494622370069</v>
      </c>
    </row>
    <row r="333" spans="1:5" x14ac:dyDescent="0.35">
      <c r="A333" s="16">
        <v>321</v>
      </c>
      <c r="B333" s="17">
        <f t="shared" si="23"/>
        <v>1.285204238179999E+16</v>
      </c>
      <c r="C333" s="17">
        <f t="shared" si="24"/>
        <v>238778656</v>
      </c>
      <c r="D333" s="17">
        <f t="shared" si="25"/>
        <v>0.44475990699514711</v>
      </c>
      <c r="E333" s="18">
        <f t="shared" si="22"/>
        <v>6.6330852172645454</v>
      </c>
    </row>
    <row r="334" spans="1:5" x14ac:dyDescent="0.35">
      <c r="A334" s="16">
        <v>322</v>
      </c>
      <c r="B334" s="17">
        <f t="shared" si="23"/>
        <v>1.0086729424128738E+16</v>
      </c>
      <c r="C334" s="17">
        <f t="shared" si="24"/>
        <v>358873471</v>
      </c>
      <c r="D334" s="17">
        <f t="shared" si="25"/>
        <v>0.66845393243601148</v>
      </c>
      <c r="E334" s="18">
        <f t="shared" ref="E334:E397" si="26">(-1/$B$6) * LN(1-D334)</f>
        <v>12.446319188283168</v>
      </c>
    </row>
    <row r="335" spans="1:5" x14ac:dyDescent="0.35">
      <c r="A335" s="16">
        <v>323</v>
      </c>
      <c r="B335" s="17">
        <f t="shared" si="23"/>
        <v>1.5159896015216702E+16</v>
      </c>
      <c r="C335" s="17">
        <f t="shared" si="24"/>
        <v>444628736</v>
      </c>
      <c r="D335" s="17">
        <f t="shared" si="25"/>
        <v>0.82818556140432342</v>
      </c>
      <c r="E335" s="18">
        <f t="shared" si="26"/>
        <v>19.857274294421934</v>
      </c>
    </row>
    <row r="336" spans="1:5" x14ac:dyDescent="0.35">
      <c r="A336" s="16">
        <v>324</v>
      </c>
      <c r="B336" s="17">
        <f t="shared" si="23"/>
        <v>1.8782456617919616E+16</v>
      </c>
      <c r="C336" s="17">
        <f t="shared" si="24"/>
        <v>416168155</v>
      </c>
      <c r="D336" s="17">
        <f t="shared" si="25"/>
        <v>0.77517359806289377</v>
      </c>
      <c r="E336" s="18">
        <f t="shared" si="26"/>
        <v>16.825554921301485</v>
      </c>
    </row>
    <row r="337" spans="1:5" x14ac:dyDescent="0.35">
      <c r="A337" s="16">
        <v>325</v>
      </c>
      <c r="B337" s="17">
        <f t="shared" si="23"/>
        <v>1.7580195981670226E+16</v>
      </c>
      <c r="C337" s="17">
        <f t="shared" si="24"/>
        <v>444948500</v>
      </c>
      <c r="D337" s="17">
        <f t="shared" si="25"/>
        <v>0.82878116827004089</v>
      </c>
      <c r="E337" s="18">
        <f t="shared" si="26"/>
        <v>19.896424158976551</v>
      </c>
    </row>
    <row r="338" spans="1:5" x14ac:dyDescent="0.35">
      <c r="A338" s="16">
        <v>326</v>
      </c>
      <c r="B338" s="17">
        <f t="shared" si="23"/>
        <v>1.8795964412089024E+16</v>
      </c>
      <c r="C338" s="17">
        <f t="shared" si="24"/>
        <v>1345892</v>
      </c>
      <c r="D338" s="17">
        <f t="shared" si="25"/>
        <v>2.506919214527753E-3</v>
      </c>
      <c r="E338" s="18">
        <f t="shared" si="26"/>
        <v>2.8298385547847405E-2</v>
      </c>
    </row>
    <row r="339" spans="1:5" x14ac:dyDescent="0.35">
      <c r="A339" s="16">
        <v>327</v>
      </c>
      <c r="B339" s="17">
        <f t="shared" si="23"/>
        <v>56854562716334</v>
      </c>
      <c r="C339" s="17">
        <f t="shared" si="24"/>
        <v>470112345</v>
      </c>
      <c r="D339" s="17">
        <f t="shared" si="25"/>
        <v>0.87565248226989989</v>
      </c>
      <c r="E339" s="18">
        <f t="shared" si="26"/>
        <v>23.502537439609519</v>
      </c>
    </row>
    <row r="340" spans="1:5" x14ac:dyDescent="0.35">
      <c r="A340" s="16">
        <v>328</v>
      </c>
      <c r="B340" s="17">
        <f t="shared" si="23"/>
        <v>1.985896099322632E+16</v>
      </c>
      <c r="C340" s="17">
        <f t="shared" si="24"/>
        <v>231766853</v>
      </c>
      <c r="D340" s="17">
        <f t="shared" si="25"/>
        <v>0.43169940610117991</v>
      </c>
      <c r="E340" s="18">
        <f t="shared" si="26"/>
        <v>6.3709671435744424</v>
      </c>
    </row>
    <row r="341" spans="1:5" x14ac:dyDescent="0.35">
      <c r="A341" s="16">
        <v>329</v>
      </c>
      <c r="B341" s="17">
        <f t="shared" si="23"/>
        <v>9790529752869906</v>
      </c>
      <c r="C341" s="17">
        <f t="shared" si="24"/>
        <v>422277004</v>
      </c>
      <c r="D341" s="17">
        <f t="shared" si="25"/>
        <v>0.7865522160625168</v>
      </c>
      <c r="E341" s="18">
        <f t="shared" si="26"/>
        <v>17.411082840444067</v>
      </c>
    </row>
    <row r="342" spans="1:5" x14ac:dyDescent="0.35">
      <c r="A342" s="16">
        <v>330</v>
      </c>
      <c r="B342" s="17">
        <f t="shared" si="23"/>
        <v>1.7838252157174566E+16</v>
      </c>
      <c r="C342" s="17">
        <f t="shared" si="24"/>
        <v>490275203</v>
      </c>
      <c r="D342" s="17">
        <f t="shared" si="25"/>
        <v>0.91320873205814035</v>
      </c>
      <c r="E342" s="18">
        <f t="shared" si="26"/>
        <v>27.556361467017894</v>
      </c>
    </row>
    <row r="343" spans="1:5" x14ac:dyDescent="0.35">
      <c r="A343" s="16">
        <v>331</v>
      </c>
      <c r="B343" s="17">
        <f t="shared" si="23"/>
        <v>2.0710700825511752E+16</v>
      </c>
      <c r="C343" s="17">
        <f t="shared" si="24"/>
        <v>269330806</v>
      </c>
      <c r="D343" s="17">
        <f t="shared" si="25"/>
        <v>0.50166772120322178</v>
      </c>
      <c r="E343" s="18">
        <f t="shared" si="26"/>
        <v>7.8521781054629693</v>
      </c>
    </row>
    <row r="344" spans="1:5" x14ac:dyDescent="0.35">
      <c r="A344" s="16">
        <v>332</v>
      </c>
      <c r="B344" s="17">
        <f t="shared" si="23"/>
        <v>1.1377344232652388E+16</v>
      </c>
      <c r="C344" s="17">
        <f t="shared" si="24"/>
        <v>45931383</v>
      </c>
      <c r="D344" s="17">
        <f t="shared" si="25"/>
        <v>8.5553868061132243E-2</v>
      </c>
      <c r="E344" s="18">
        <f t="shared" si="26"/>
        <v>1.0083057189661342</v>
      </c>
    </row>
    <row r="345" spans="1:5" x14ac:dyDescent="0.35">
      <c r="A345" s="16">
        <v>333</v>
      </c>
      <c r="B345" s="17">
        <f t="shared" si="23"/>
        <v>1940279949469735</v>
      </c>
      <c r="C345" s="17">
        <f t="shared" si="24"/>
        <v>22957452</v>
      </c>
      <c r="D345" s="17">
        <f t="shared" si="25"/>
        <v>4.2761586765801857E-2</v>
      </c>
      <c r="E345" s="18">
        <f t="shared" si="26"/>
        <v>0.49270341509865406</v>
      </c>
    </row>
    <row r="346" spans="1:5" x14ac:dyDescent="0.35">
      <c r="A346" s="16">
        <v>334</v>
      </c>
      <c r="B346" s="17">
        <f t="shared" si="23"/>
        <v>969791929523494</v>
      </c>
      <c r="C346" s="17">
        <f t="shared" si="24"/>
        <v>127053136</v>
      </c>
      <c r="D346" s="17">
        <f t="shared" si="25"/>
        <v>0.23665490834658931</v>
      </c>
      <c r="E346" s="18">
        <f t="shared" si="26"/>
        <v>3.0444765198177604</v>
      </c>
    </row>
    <row r="347" spans="1:5" x14ac:dyDescent="0.35">
      <c r="A347" s="16">
        <v>335</v>
      </c>
      <c r="B347" s="17">
        <f t="shared" si="23"/>
        <v>5367107053788018</v>
      </c>
      <c r="C347" s="17">
        <f t="shared" si="24"/>
        <v>503457353</v>
      </c>
      <c r="D347" s="17">
        <f t="shared" si="25"/>
        <v>0.93776239990354482</v>
      </c>
      <c r="E347" s="18">
        <f t="shared" si="26"/>
        <v>31.305478677756415</v>
      </c>
    </row>
    <row r="348" spans="1:5" x14ac:dyDescent="0.35">
      <c r="A348" s="16">
        <v>336</v>
      </c>
      <c r="B348" s="17">
        <f t="shared" si="23"/>
        <v>2.1267554532965408E+16</v>
      </c>
      <c r="C348" s="17">
        <f t="shared" si="24"/>
        <v>193606131</v>
      </c>
      <c r="D348" s="17">
        <f t="shared" si="25"/>
        <v>0.3606195221119356</v>
      </c>
      <c r="E348" s="18">
        <f t="shared" si="26"/>
        <v>5.0423401887946149</v>
      </c>
    </row>
    <row r="349" spans="1:5" x14ac:dyDescent="0.35">
      <c r="A349" s="16">
        <v>337</v>
      </c>
      <c r="B349" s="17">
        <f t="shared" si="23"/>
        <v>8178505953655963</v>
      </c>
      <c r="C349" s="17">
        <f t="shared" si="24"/>
        <v>252817169</v>
      </c>
      <c r="D349" s="17">
        <f t="shared" si="25"/>
        <v>0.47090867523442459</v>
      </c>
      <c r="E349" s="18">
        <f t="shared" si="26"/>
        <v>7.1769360249822887</v>
      </c>
    </row>
    <row r="350" spans="1:5" x14ac:dyDescent="0.35">
      <c r="A350" s="16">
        <v>338</v>
      </c>
      <c r="B350" s="17">
        <f t="shared" si="23"/>
        <v>1.0679758483211382E+16</v>
      </c>
      <c r="C350" s="17">
        <f t="shared" si="24"/>
        <v>199052782</v>
      </c>
      <c r="D350" s="17">
        <f t="shared" si="25"/>
        <v>0.37076470021443331</v>
      </c>
      <c r="E350" s="18">
        <f t="shared" si="26"/>
        <v>5.2226607297022651</v>
      </c>
    </row>
    <row r="351" spans="1:5" x14ac:dyDescent="0.35">
      <c r="A351" s="16">
        <v>339</v>
      </c>
      <c r="B351" s="17">
        <f t="shared" si="23"/>
        <v>8408588891762124</v>
      </c>
      <c r="C351" s="17">
        <f t="shared" si="24"/>
        <v>182692437</v>
      </c>
      <c r="D351" s="17">
        <f t="shared" si="25"/>
        <v>0.34029118284691567</v>
      </c>
      <c r="E351" s="18">
        <f t="shared" si="26"/>
        <v>4.6894783251926961</v>
      </c>
    </row>
    <row r="352" spans="1:5" x14ac:dyDescent="0.35">
      <c r="A352" s="16">
        <v>340</v>
      </c>
      <c r="B352" s="17">
        <f t="shared" si="23"/>
        <v>7717478657963329</v>
      </c>
      <c r="C352" s="17">
        <f t="shared" si="24"/>
        <v>114527565</v>
      </c>
      <c r="D352" s="17">
        <f t="shared" si="25"/>
        <v>0.21332421419517775</v>
      </c>
      <c r="E352" s="18">
        <f t="shared" si="26"/>
        <v>2.7050628813191109</v>
      </c>
    </row>
    <row r="353" spans="1:5" x14ac:dyDescent="0.35">
      <c r="A353" s="16">
        <v>341</v>
      </c>
      <c r="B353" s="17">
        <f t="shared" si="23"/>
        <v>4837989220253737</v>
      </c>
      <c r="C353" s="17">
        <f t="shared" si="24"/>
        <v>91226410</v>
      </c>
      <c r="D353" s="17">
        <f t="shared" si="25"/>
        <v>0.16992243070126486</v>
      </c>
      <c r="E353" s="18">
        <f t="shared" si="26"/>
        <v>2.0996181011487902</v>
      </c>
    </row>
    <row r="354" spans="1:5" x14ac:dyDescent="0.35">
      <c r="A354" s="16">
        <v>342</v>
      </c>
      <c r="B354" s="17">
        <f t="shared" si="23"/>
        <v>3853678273276032</v>
      </c>
      <c r="C354" s="17">
        <f t="shared" si="24"/>
        <v>83636147</v>
      </c>
      <c r="D354" s="17">
        <f t="shared" si="25"/>
        <v>0.15578446409025962</v>
      </c>
      <c r="E354" s="18">
        <f t="shared" si="26"/>
        <v>1.9092158138444861</v>
      </c>
    </row>
    <row r="355" spans="1:5" x14ac:dyDescent="0.35">
      <c r="A355" s="16">
        <v>343</v>
      </c>
      <c r="B355" s="17">
        <f t="shared" si="23"/>
        <v>3533042709874139</v>
      </c>
      <c r="C355" s="17">
        <f t="shared" si="24"/>
        <v>471281695</v>
      </c>
      <c r="D355" s="17">
        <f t="shared" si="25"/>
        <v>0.87783056638326706</v>
      </c>
      <c r="E355" s="18">
        <f t="shared" si="26"/>
        <v>23.701763219872319</v>
      </c>
    </row>
    <row r="356" spans="1:5" x14ac:dyDescent="0.35">
      <c r="A356" s="16">
        <v>344</v>
      </c>
      <c r="B356" s="17">
        <f t="shared" si="23"/>
        <v>1.9908357858139168E+16</v>
      </c>
      <c r="C356" s="17">
        <f t="shared" si="24"/>
        <v>141029502</v>
      </c>
      <c r="D356" s="17">
        <f t="shared" si="25"/>
        <v>0.26268791877734632</v>
      </c>
      <c r="E356" s="18">
        <f t="shared" si="26"/>
        <v>3.435671120161536</v>
      </c>
    </row>
    <row r="357" spans="1:5" x14ac:dyDescent="0.35">
      <c r="A357" s="16">
        <v>345</v>
      </c>
      <c r="B357" s="17">
        <f t="shared" si="23"/>
        <v>5957510836466044</v>
      </c>
      <c r="C357" s="17">
        <f t="shared" si="24"/>
        <v>365986836</v>
      </c>
      <c r="D357" s="17">
        <f t="shared" si="25"/>
        <v>0.68170360729732959</v>
      </c>
      <c r="E357" s="18">
        <f t="shared" si="26"/>
        <v>12.906113616336906</v>
      </c>
    </row>
    <row r="358" spans="1:5" x14ac:dyDescent="0.35">
      <c r="A358" s="16">
        <v>346</v>
      </c>
      <c r="B358" s="17">
        <f t="shared" si="23"/>
        <v>1.5460385971158718E+16</v>
      </c>
      <c r="C358" s="17">
        <f t="shared" si="24"/>
        <v>530458586</v>
      </c>
      <c r="D358" s="17">
        <f t="shared" si="25"/>
        <v>0.98805611576160834</v>
      </c>
      <c r="E358" s="18">
        <f t="shared" si="26"/>
        <v>49.915850178380893</v>
      </c>
    </row>
    <row r="359" spans="1:5" x14ac:dyDescent="0.35">
      <c r="A359" s="16">
        <v>347</v>
      </c>
      <c r="B359" s="17">
        <f t="shared" si="23"/>
        <v>2.2408167915597968E+16</v>
      </c>
      <c r="C359" s="17">
        <f t="shared" si="24"/>
        <v>187306353</v>
      </c>
      <c r="D359" s="17">
        <f t="shared" si="25"/>
        <v>0.34888527113529022</v>
      </c>
      <c r="E359" s="18">
        <f t="shared" si="26"/>
        <v>4.8373102309568905</v>
      </c>
    </row>
    <row r="360" spans="1:5" x14ac:dyDescent="0.35">
      <c r="A360" s="16">
        <v>348</v>
      </c>
      <c r="B360" s="17">
        <f t="shared" si="23"/>
        <v>7912384362304405</v>
      </c>
      <c r="C360" s="17">
        <f t="shared" si="24"/>
        <v>203339201</v>
      </c>
      <c r="D360" s="17">
        <f t="shared" si="25"/>
        <v>0.3787487778020977</v>
      </c>
      <c r="E360" s="18">
        <f t="shared" si="26"/>
        <v>5.3666260907854184</v>
      </c>
    </row>
    <row r="361" spans="1:5" x14ac:dyDescent="0.35">
      <c r="A361" s="16">
        <v>349</v>
      </c>
      <c r="B361" s="17">
        <f t="shared" si="23"/>
        <v>8589660136729733</v>
      </c>
      <c r="C361" s="17">
        <f t="shared" si="24"/>
        <v>438636165</v>
      </c>
      <c r="D361" s="17">
        <f t="shared" si="25"/>
        <v>0.81702352805816947</v>
      </c>
      <c r="E361" s="18">
        <f t="shared" si="26"/>
        <v>19.147662942843823</v>
      </c>
    </row>
    <row r="362" spans="1:5" x14ac:dyDescent="0.35">
      <c r="A362" s="16">
        <v>350</v>
      </c>
      <c r="B362" s="17">
        <f t="shared" si="23"/>
        <v>1.8529312375248336E+16</v>
      </c>
      <c r="C362" s="17">
        <f t="shared" si="24"/>
        <v>471709773</v>
      </c>
      <c r="D362" s="17">
        <f t="shared" si="25"/>
        <v>0.87862792379642995</v>
      </c>
      <c r="E362" s="18">
        <f t="shared" si="26"/>
        <v>23.77558558750632</v>
      </c>
    </row>
    <row r="363" spans="1:5" x14ac:dyDescent="0.35">
      <c r="A363" s="16">
        <v>351</v>
      </c>
      <c r="B363" s="17">
        <f t="shared" si="23"/>
        <v>1.9926441161802024E+16</v>
      </c>
      <c r="C363" s="17">
        <f t="shared" si="24"/>
        <v>21797145</v>
      </c>
      <c r="D363" s="17">
        <f t="shared" si="25"/>
        <v>4.0600346552581885E-2</v>
      </c>
      <c r="E363" s="18">
        <f t="shared" si="26"/>
        <v>0.46727791580916422</v>
      </c>
    </row>
    <row r="364" spans="1:5" x14ac:dyDescent="0.35">
      <c r="A364" s="16">
        <v>352</v>
      </c>
      <c r="B364" s="17">
        <f t="shared" si="23"/>
        <v>920777068159117</v>
      </c>
      <c r="C364" s="17">
        <f t="shared" si="24"/>
        <v>506121237</v>
      </c>
      <c r="D364" s="17">
        <f t="shared" si="25"/>
        <v>0.9427242705327431</v>
      </c>
      <c r="E364" s="18">
        <f t="shared" si="26"/>
        <v>32.242145597510785</v>
      </c>
    </row>
    <row r="365" spans="1:5" x14ac:dyDescent="0.35">
      <c r="A365" s="16">
        <v>353</v>
      </c>
      <c r="B365" s="17">
        <f t="shared" si="23"/>
        <v>2.1380085014080128E+16</v>
      </c>
      <c r="C365" s="17">
        <f t="shared" si="24"/>
        <v>384291607</v>
      </c>
      <c r="D365" s="17">
        <f t="shared" si="25"/>
        <v>0.71579890033527804</v>
      </c>
      <c r="E365" s="18">
        <f t="shared" si="26"/>
        <v>14.183463291912352</v>
      </c>
    </row>
    <row r="366" spans="1:5" x14ac:dyDescent="0.35">
      <c r="A366" s="16">
        <v>354</v>
      </c>
      <c r="B366" s="17">
        <f t="shared" si="23"/>
        <v>1.6233634613864198E+16</v>
      </c>
      <c r="C366" s="17">
        <f t="shared" si="24"/>
        <v>442501698</v>
      </c>
      <c r="D366" s="17">
        <f t="shared" si="25"/>
        <v>0.8242236443766342</v>
      </c>
      <c r="E366" s="18">
        <f t="shared" si="26"/>
        <v>19.600257031135676</v>
      </c>
    </row>
    <row r="367" spans="1:5" x14ac:dyDescent="0.35">
      <c r="A367" s="16">
        <v>355</v>
      </c>
      <c r="B367" s="17">
        <f t="shared" si="23"/>
        <v>1.86926041282882E+16</v>
      </c>
      <c r="C367" s="17">
        <f t="shared" si="24"/>
        <v>252814432</v>
      </c>
      <c r="D367" s="17">
        <f t="shared" si="25"/>
        <v>0.47090357717463216</v>
      </c>
      <c r="E367" s="18">
        <f t="shared" si="26"/>
        <v>7.1768273952843451</v>
      </c>
    </row>
    <row r="368" spans="1:5" x14ac:dyDescent="0.35">
      <c r="A368" s="16">
        <v>356</v>
      </c>
      <c r="B368" s="17">
        <f t="shared" si="23"/>
        <v>1.0679642864090274E+16</v>
      </c>
      <c r="C368" s="17">
        <f t="shared" si="24"/>
        <v>7177539</v>
      </c>
      <c r="D368" s="17">
        <f t="shared" si="25"/>
        <v>1.3369208251570196E-2</v>
      </c>
      <c r="E368" s="18">
        <f t="shared" si="26"/>
        <v>0.15174048148365679</v>
      </c>
    </row>
    <row r="369" spans="1:5" x14ac:dyDescent="0.35">
      <c r="A369" s="16">
        <v>357</v>
      </c>
      <c r="B369" s="17">
        <f t="shared" si="23"/>
        <v>303200891085451</v>
      </c>
      <c r="C369" s="17">
        <f t="shared" si="24"/>
        <v>359743646</v>
      </c>
      <c r="D369" s="17">
        <f t="shared" si="25"/>
        <v>0.67007475968478158</v>
      </c>
      <c r="E369" s="18">
        <f t="shared" si="26"/>
        <v>12.501569274927064</v>
      </c>
    </row>
    <row r="370" spans="1:5" x14ac:dyDescent="0.35">
      <c r="A370" s="16">
        <v>358</v>
      </c>
      <c r="B370" s="17">
        <f t="shared" si="23"/>
        <v>1.5196654827313628E+16</v>
      </c>
      <c r="C370" s="17">
        <f t="shared" si="24"/>
        <v>242320403</v>
      </c>
      <c r="D370" s="17">
        <f t="shared" si="25"/>
        <v>0.45135692488907619</v>
      </c>
      <c r="E370" s="18">
        <f t="shared" si="26"/>
        <v>6.7678374894351867</v>
      </c>
    </row>
    <row r="371" spans="1:5" x14ac:dyDescent="0.35">
      <c r="A371" s="16">
        <v>359</v>
      </c>
      <c r="B371" s="17">
        <f t="shared" si="23"/>
        <v>1.0236343481608954E+16</v>
      </c>
      <c r="C371" s="17">
        <f t="shared" si="24"/>
        <v>304618029</v>
      </c>
      <c r="D371" s="17">
        <f t="shared" si="25"/>
        <v>0.5673952961988572</v>
      </c>
      <c r="E371" s="18">
        <f t="shared" si="26"/>
        <v>9.4467969807842653</v>
      </c>
    </row>
    <row r="372" spans="1:5" x14ac:dyDescent="0.35">
      <c r="A372" s="16">
        <v>360</v>
      </c>
      <c r="B372" s="17">
        <f t="shared" si="23"/>
        <v>1.2867982782000842E+16</v>
      </c>
      <c r="C372" s="17">
        <f t="shared" si="24"/>
        <v>404761007</v>
      </c>
      <c r="D372" s="17">
        <f t="shared" si="25"/>
        <v>0.75392612909498113</v>
      </c>
      <c r="E372" s="18">
        <f t="shared" si="26"/>
        <v>15.807480269396589</v>
      </c>
    </row>
    <row r="373" spans="1:5" x14ac:dyDescent="0.35">
      <c r="A373" s="16">
        <v>361</v>
      </c>
      <c r="B373" s="17">
        <f t="shared" si="23"/>
        <v>1.7098323703227598E+16</v>
      </c>
      <c r="C373" s="17">
        <f t="shared" si="24"/>
        <v>410770299</v>
      </c>
      <c r="D373" s="17">
        <f t="shared" si="25"/>
        <v>0.7651193077307914</v>
      </c>
      <c r="E373" s="18">
        <f t="shared" si="26"/>
        <v>16.332329044294138</v>
      </c>
    </row>
    <row r="374" spans="1:5" x14ac:dyDescent="0.35">
      <c r="A374" s="16">
        <v>362</v>
      </c>
      <c r="B374" s="17">
        <f t="shared" si="23"/>
        <v>1.735217429128581E+16</v>
      </c>
      <c r="C374" s="17">
        <f t="shared" si="24"/>
        <v>178496737</v>
      </c>
      <c r="D374" s="17">
        <f t="shared" si="25"/>
        <v>0.3324760825651738</v>
      </c>
      <c r="E374" s="18">
        <f t="shared" si="26"/>
        <v>4.5567086582483078</v>
      </c>
    </row>
    <row r="375" spans="1:5" x14ac:dyDescent="0.35">
      <c r="A375" s="16">
        <v>363</v>
      </c>
      <c r="B375" s="17">
        <f t="shared" si="23"/>
        <v>7540239656710629</v>
      </c>
      <c r="C375" s="17">
        <f t="shared" si="24"/>
        <v>454606939</v>
      </c>
      <c r="D375" s="17">
        <f t="shared" si="25"/>
        <v>0.84677141288955293</v>
      </c>
      <c r="E375" s="18">
        <f t="shared" si="26"/>
        <v>21.147964364662965</v>
      </c>
    </row>
    <row r="376" spans="1:5" x14ac:dyDescent="0.35">
      <c r="A376" s="16">
        <v>364</v>
      </c>
      <c r="B376" s="17">
        <f t="shared" si="23"/>
        <v>1.9203965957008848E+16</v>
      </c>
      <c r="C376" s="17">
        <f t="shared" si="24"/>
        <v>55000334</v>
      </c>
      <c r="D376" s="17">
        <f t="shared" si="25"/>
        <v>0.10244610571282396</v>
      </c>
      <c r="E376" s="18">
        <f t="shared" si="26"/>
        <v>1.2185130899385561</v>
      </c>
    </row>
    <row r="377" spans="1:5" x14ac:dyDescent="0.35">
      <c r="A377" s="16">
        <v>365</v>
      </c>
      <c r="B377" s="17">
        <f t="shared" si="23"/>
        <v>2323379746321196</v>
      </c>
      <c r="C377" s="17">
        <f t="shared" si="24"/>
        <v>12008444</v>
      </c>
      <c r="D377" s="17">
        <f t="shared" si="25"/>
        <v>2.2367470049736909E-2</v>
      </c>
      <c r="E377" s="18">
        <f t="shared" si="26"/>
        <v>0.25503287261606611</v>
      </c>
    </row>
    <row r="378" spans="1:5" x14ac:dyDescent="0.35">
      <c r="A378" s="16">
        <v>366</v>
      </c>
      <c r="B378" s="17">
        <f t="shared" si="23"/>
        <v>507272864140406</v>
      </c>
      <c r="C378" s="17">
        <f t="shared" si="24"/>
        <v>183334747</v>
      </c>
      <c r="D378" s="17">
        <f t="shared" si="25"/>
        <v>0.34148757845717509</v>
      </c>
      <c r="E378" s="18">
        <f t="shared" si="26"/>
        <v>4.7099424417805924</v>
      </c>
    </row>
    <row r="379" spans="1:5" x14ac:dyDescent="0.35">
      <c r="A379" s="16">
        <v>367</v>
      </c>
      <c r="B379" s="17">
        <f t="shared" si="23"/>
        <v>7744611766358739</v>
      </c>
      <c r="C379" s="17">
        <f t="shared" si="24"/>
        <v>303951946</v>
      </c>
      <c r="D379" s="17">
        <f t="shared" si="25"/>
        <v>0.56615461992530014</v>
      </c>
      <c r="E379" s="18">
        <f t="shared" si="26"/>
        <v>9.414510433696984</v>
      </c>
    </row>
    <row r="380" spans="1:5" x14ac:dyDescent="0.35">
      <c r="A380" s="16">
        <v>368</v>
      </c>
      <c r="B380" s="17">
        <f t="shared" si="23"/>
        <v>1.2839845430504928E+16</v>
      </c>
      <c r="C380" s="17">
        <f t="shared" si="24"/>
        <v>457710603</v>
      </c>
      <c r="D380" s="17">
        <f t="shared" si="25"/>
        <v>0.85255243760553168</v>
      </c>
      <c r="E380" s="18">
        <f t="shared" si="26"/>
        <v>21.581540874866757</v>
      </c>
    </row>
    <row r="381" spans="1:5" x14ac:dyDescent="0.35">
      <c r="A381" s="16">
        <v>369</v>
      </c>
      <c r="B381" s="17">
        <f t="shared" si="23"/>
        <v>1.9335074069501152E+16</v>
      </c>
      <c r="C381" s="17">
        <f t="shared" si="24"/>
        <v>532930061</v>
      </c>
      <c r="D381" s="17">
        <f t="shared" si="25"/>
        <v>0.99265959669895321</v>
      </c>
      <c r="E381" s="18">
        <f t="shared" si="26"/>
        <v>55.404300926927476</v>
      </c>
    </row>
    <row r="382" spans="1:5" x14ac:dyDescent="0.35">
      <c r="A382" s="16">
        <v>370</v>
      </c>
      <c r="B382" s="17">
        <f t="shared" si="23"/>
        <v>2.2512570461209192E+16</v>
      </c>
      <c r="C382" s="17">
        <f t="shared" si="24"/>
        <v>131209962</v>
      </c>
      <c r="D382" s="17">
        <f t="shared" si="25"/>
        <v>0.24439760016053022</v>
      </c>
      <c r="E382" s="18">
        <f t="shared" si="26"/>
        <v>3.1594133854400486</v>
      </c>
    </row>
    <row r="383" spans="1:5" x14ac:dyDescent="0.35">
      <c r="A383" s="16">
        <v>371</v>
      </c>
      <c r="B383" s="17">
        <f t="shared" si="23"/>
        <v>5542703900231104</v>
      </c>
      <c r="C383" s="17">
        <f t="shared" si="24"/>
        <v>296685114</v>
      </c>
      <c r="D383" s="17">
        <f t="shared" si="25"/>
        <v>0.55261909049980007</v>
      </c>
      <c r="E383" s="18">
        <f t="shared" si="26"/>
        <v>9.0681499515942257</v>
      </c>
    </row>
    <row r="384" spans="1:5" x14ac:dyDescent="0.35">
      <c r="A384" s="16">
        <v>372</v>
      </c>
      <c r="B384" s="17">
        <f t="shared" si="23"/>
        <v>1.2532872566393776E+16</v>
      </c>
      <c r="C384" s="17">
        <f t="shared" si="24"/>
        <v>179961942</v>
      </c>
      <c r="D384" s="17">
        <f t="shared" si="25"/>
        <v>0.33520523956121967</v>
      </c>
      <c r="E384" s="18">
        <f t="shared" si="26"/>
        <v>4.6028964699180843</v>
      </c>
    </row>
    <row r="385" spans="1:5" x14ac:dyDescent="0.35">
      <c r="A385" s="16">
        <v>373</v>
      </c>
      <c r="B385" s="17">
        <f t="shared" si="23"/>
        <v>7602134327642884</v>
      </c>
      <c r="C385" s="17">
        <f t="shared" si="24"/>
        <v>351951826</v>
      </c>
      <c r="D385" s="17">
        <f t="shared" si="25"/>
        <v>0.65556136390403419</v>
      </c>
      <c r="E385" s="18">
        <f t="shared" si="26"/>
        <v>12.016226932745163</v>
      </c>
    </row>
    <row r="386" spans="1:5" x14ac:dyDescent="0.35">
      <c r="A386" s="16">
        <v>374</v>
      </c>
      <c r="B386" s="17">
        <f t="shared" si="23"/>
        <v>1.4867504889343608E+16</v>
      </c>
      <c r="C386" s="17">
        <f t="shared" si="24"/>
        <v>491175373</v>
      </c>
      <c r="D386" s="17">
        <f t="shared" si="25"/>
        <v>0.91488542934836981</v>
      </c>
      <c r="E386" s="18">
        <f t="shared" si="26"/>
        <v>27.77629131973994</v>
      </c>
    </row>
    <row r="387" spans="1:5" x14ac:dyDescent="0.35">
      <c r="A387" s="16">
        <v>375</v>
      </c>
      <c r="B387" s="17">
        <f t="shared" si="23"/>
        <v>2.0748726716723624E+16</v>
      </c>
      <c r="C387" s="17">
        <f t="shared" si="24"/>
        <v>130787459</v>
      </c>
      <c r="D387" s="17">
        <f t="shared" si="25"/>
        <v>0.24361062699411298</v>
      </c>
      <c r="E387" s="18">
        <f t="shared" si="26"/>
        <v>3.1476774716289082</v>
      </c>
    </row>
    <row r="388" spans="1:5" x14ac:dyDescent="0.35">
      <c r="A388" s="16">
        <v>376</v>
      </c>
      <c r="B388" s="17">
        <f t="shared" ref="B388:B412" si="27">$B$2*C387+$B$3</f>
        <v>5524856101354571</v>
      </c>
      <c r="C388" s="17">
        <f t="shared" ref="C388:C412" si="28">MOD(B388,$B$4)</f>
        <v>234373865</v>
      </c>
      <c r="D388" s="17">
        <f t="shared" ref="D388:D412" si="29">C388/($B$4-1)</f>
        <v>0.43655534437505655</v>
      </c>
      <c r="E388" s="18">
        <f t="shared" si="26"/>
        <v>6.467713255024889</v>
      </c>
    </row>
    <row r="389" spans="1:5" x14ac:dyDescent="0.35">
      <c r="A389" s="16">
        <v>377</v>
      </c>
      <c r="B389" s="17">
        <f t="shared" si="27"/>
        <v>9900657789463038</v>
      </c>
      <c r="C389" s="17">
        <f t="shared" si="28"/>
        <v>128896706</v>
      </c>
      <c r="D389" s="17">
        <f t="shared" si="29"/>
        <v>0.24008882507714938</v>
      </c>
      <c r="E389" s="18">
        <f t="shared" si="26"/>
        <v>3.0953069631758674</v>
      </c>
    </row>
    <row r="390" spans="1:5" x14ac:dyDescent="0.35">
      <c r="A390" s="16">
        <v>378</v>
      </c>
      <c r="B390" s="17">
        <f t="shared" si="27"/>
        <v>5444985001577288</v>
      </c>
      <c r="C390" s="17">
        <f t="shared" si="28"/>
        <v>493767874</v>
      </c>
      <c r="D390" s="17">
        <f t="shared" si="29"/>
        <v>0.91971433877838527</v>
      </c>
      <c r="E390" s="18">
        <f t="shared" si="26"/>
        <v>28.434771579309128</v>
      </c>
    </row>
    <row r="391" spans="1:5" x14ac:dyDescent="0.35">
      <c r="A391" s="16">
        <v>379</v>
      </c>
      <c r="B391" s="17">
        <f t="shared" si="27"/>
        <v>2.0858241764984136E+16</v>
      </c>
      <c r="C391" s="17">
        <f t="shared" si="28"/>
        <v>492525814</v>
      </c>
      <c r="D391" s="17">
        <f t="shared" si="29"/>
        <v>0.91740082173571291</v>
      </c>
      <c r="E391" s="18">
        <f t="shared" si="26"/>
        <v>28.114493200438989</v>
      </c>
    </row>
    <row r="392" spans="1:5" x14ac:dyDescent="0.35">
      <c r="A392" s="16">
        <v>380</v>
      </c>
      <c r="B392" s="17">
        <f t="shared" si="27"/>
        <v>2.0805773410741472E+16</v>
      </c>
      <c r="C392" s="17">
        <f t="shared" si="28"/>
        <v>532415180</v>
      </c>
      <c r="D392" s="17">
        <f t="shared" si="29"/>
        <v>0.99170055609829932</v>
      </c>
      <c r="E392" s="18">
        <f t="shared" si="26"/>
        <v>54.019918446665962</v>
      </c>
    </row>
    <row r="393" spans="1:5" x14ac:dyDescent="0.35">
      <c r="A393" s="16">
        <v>381</v>
      </c>
      <c r="B393" s="17">
        <f t="shared" si="27"/>
        <v>2.2490820337462504E+16</v>
      </c>
      <c r="C393" s="17">
        <f t="shared" si="28"/>
        <v>258680617</v>
      </c>
      <c r="D393" s="17">
        <f t="shared" si="29"/>
        <v>0.48183019825007839</v>
      </c>
      <c r="E393" s="18">
        <f t="shared" si="26"/>
        <v>7.4120889270818884</v>
      </c>
    </row>
    <row r="394" spans="1:5" x14ac:dyDescent="0.35">
      <c r="A394" s="16">
        <v>382</v>
      </c>
      <c r="B394" s="17">
        <f t="shared" si="27"/>
        <v>1.092744818157331E+16</v>
      </c>
      <c r="C394" s="17">
        <f t="shared" si="28"/>
        <v>207657572</v>
      </c>
      <c r="D394" s="17">
        <f t="shared" si="29"/>
        <v>0.38679237062779209</v>
      </c>
      <c r="E394" s="18">
        <f t="shared" si="26"/>
        <v>5.5135478034193897</v>
      </c>
    </row>
    <row r="395" spans="1:5" x14ac:dyDescent="0.35">
      <c r="A395" s="16">
        <v>383</v>
      </c>
      <c r="B395" s="17">
        <f t="shared" si="27"/>
        <v>8772081130384814</v>
      </c>
      <c r="C395" s="17">
        <f t="shared" si="28"/>
        <v>212926200</v>
      </c>
      <c r="D395" s="17">
        <f t="shared" si="29"/>
        <v>0.39660595505165291</v>
      </c>
      <c r="E395" s="18">
        <f t="shared" si="26"/>
        <v>5.6954320345740728</v>
      </c>
    </row>
    <row r="396" spans="1:5" x14ac:dyDescent="0.35">
      <c r="A396" s="16">
        <v>384</v>
      </c>
      <c r="B396" s="17">
        <f t="shared" si="27"/>
        <v>8994643840943722</v>
      </c>
      <c r="C396" s="17">
        <f t="shared" si="28"/>
        <v>402975503</v>
      </c>
      <c r="D396" s="17">
        <f t="shared" si="29"/>
        <v>0.75060036871805924</v>
      </c>
      <c r="E396" s="18">
        <f t="shared" si="26"/>
        <v>15.656129922860654</v>
      </c>
    </row>
    <row r="397" spans="1:5" x14ac:dyDescent="0.35">
      <c r="A397" s="16">
        <v>385</v>
      </c>
      <c r="B397" s="17">
        <f t="shared" si="27"/>
        <v>1.7022898638115054E+16</v>
      </c>
      <c r="C397" s="17">
        <f t="shared" si="28"/>
        <v>339944145</v>
      </c>
      <c r="D397" s="17">
        <f t="shared" si="29"/>
        <v>0.63319531505255144</v>
      </c>
      <c r="E397" s="18">
        <f t="shared" si="26"/>
        <v>11.306942121719613</v>
      </c>
    </row>
    <row r="398" spans="1:5" x14ac:dyDescent="0.35">
      <c r="A398" s="16">
        <v>386</v>
      </c>
      <c r="B398" s="17">
        <f t="shared" si="27"/>
        <v>1.4360264288776118E+16</v>
      </c>
      <c r="C398" s="17">
        <f t="shared" si="28"/>
        <v>359158882</v>
      </c>
      <c r="D398" s="17">
        <f t="shared" si="29"/>
        <v>0.66898555185267905</v>
      </c>
      <c r="E398" s="18">
        <f t="shared" ref="E398:E412" si="30">(-1/$B$6) * LN(1-D398)</f>
        <v>12.464410987213091</v>
      </c>
    </row>
    <row r="399" spans="1:5" x14ac:dyDescent="0.35">
      <c r="A399" s="16">
        <v>387</v>
      </c>
      <c r="B399" s="17">
        <f t="shared" si="27"/>
        <v>1.5171952635229224E+16</v>
      </c>
      <c r="C399" s="17">
        <f t="shared" si="28"/>
        <v>17722020</v>
      </c>
      <c r="D399" s="17">
        <f t="shared" si="29"/>
        <v>3.3009834710545222E-2</v>
      </c>
      <c r="E399" s="18">
        <f t="shared" si="30"/>
        <v>0.37843240036127473</v>
      </c>
    </row>
    <row r="400" spans="1:5" x14ac:dyDescent="0.35">
      <c r="A400" s="16">
        <v>388</v>
      </c>
      <c r="B400" s="17">
        <f t="shared" si="27"/>
        <v>748631517957742</v>
      </c>
      <c r="C400" s="17">
        <f t="shared" si="28"/>
        <v>466048368</v>
      </c>
      <c r="D400" s="17">
        <f t="shared" si="29"/>
        <v>0.86808273519606416</v>
      </c>
      <c r="E400" s="18">
        <f t="shared" si="30"/>
        <v>22.836305915377149</v>
      </c>
    </row>
    <row r="401" spans="1:5" x14ac:dyDescent="0.35">
      <c r="A401" s="16">
        <v>389</v>
      </c>
      <c r="B401" s="17">
        <f t="shared" si="27"/>
        <v>1.9687286368111568E+16</v>
      </c>
      <c r="C401" s="17">
        <f t="shared" si="28"/>
        <v>280991660</v>
      </c>
      <c r="D401" s="17">
        <f t="shared" si="29"/>
        <v>0.52338775442312568</v>
      </c>
      <c r="E401" s="18">
        <f t="shared" si="30"/>
        <v>8.3545887376848178</v>
      </c>
    </row>
    <row r="402" spans="1:5" x14ac:dyDescent="0.35">
      <c r="A402" s="16">
        <v>390</v>
      </c>
      <c r="B402" s="17">
        <f t="shared" si="27"/>
        <v>1.1869933816443782E+16</v>
      </c>
      <c r="C402" s="17">
        <f t="shared" si="28"/>
        <v>368332968</v>
      </c>
      <c r="D402" s="17">
        <f t="shared" si="29"/>
        <v>0.68607361870286476</v>
      </c>
      <c r="E402" s="18">
        <f t="shared" si="30"/>
        <v>13.061970406204637</v>
      </c>
    </row>
    <row r="403" spans="1:5" x14ac:dyDescent="0.35">
      <c r="A403" s="16">
        <v>391</v>
      </c>
      <c r="B403" s="17">
        <f t="shared" si="27"/>
        <v>1.555949365104217E+16</v>
      </c>
      <c r="C403" s="17">
        <f t="shared" si="28"/>
        <v>229558705</v>
      </c>
      <c r="D403" s="17">
        <f t="shared" si="29"/>
        <v>0.42758640992487373</v>
      </c>
      <c r="E403" s="18">
        <f t="shared" si="30"/>
        <v>6.2896672977685668</v>
      </c>
    </row>
    <row r="404" spans="1:5" x14ac:dyDescent="0.35">
      <c r="A404" s="16">
        <v>392</v>
      </c>
      <c r="B404" s="17">
        <f t="shared" si="27"/>
        <v>9697250932616278</v>
      </c>
      <c r="C404" s="17">
        <f t="shared" si="28"/>
        <v>238455071</v>
      </c>
      <c r="D404" s="17">
        <f t="shared" si="29"/>
        <v>0.4441571829622879</v>
      </c>
      <c r="E404" s="18">
        <f t="shared" si="30"/>
        <v>6.6208537527532263</v>
      </c>
    </row>
    <row r="405" spans="1:5" x14ac:dyDescent="0.35">
      <c r="A405" s="16">
        <v>393</v>
      </c>
      <c r="B405" s="17">
        <f t="shared" si="27"/>
        <v>1.0073060219414302E+16</v>
      </c>
      <c r="C405" s="17">
        <f t="shared" si="28"/>
        <v>424424006</v>
      </c>
      <c r="D405" s="17">
        <f t="shared" si="29"/>
        <v>0.79055131893810371</v>
      </c>
      <c r="E405" s="18">
        <f t="shared" si="30"/>
        <v>17.62431261284209</v>
      </c>
    </row>
    <row r="406" spans="1:5" x14ac:dyDescent="0.35">
      <c r="A406" s="16">
        <v>394</v>
      </c>
      <c r="B406" s="17">
        <f t="shared" si="27"/>
        <v>1.7928947986277588E+16</v>
      </c>
      <c r="C406" s="17">
        <f t="shared" si="28"/>
        <v>32028440</v>
      </c>
      <c r="D406" s="17">
        <f t="shared" si="29"/>
        <v>5.96576186256767E-2</v>
      </c>
      <c r="E406" s="18">
        <f t="shared" si="30"/>
        <v>0.6934750228989478</v>
      </c>
    </row>
    <row r="407" spans="1:5" x14ac:dyDescent="0.35">
      <c r="A407" s="16">
        <v>395</v>
      </c>
      <c r="B407" s="17">
        <f t="shared" si="27"/>
        <v>1352977775388362</v>
      </c>
      <c r="C407" s="17">
        <f t="shared" si="28"/>
        <v>265771775</v>
      </c>
      <c r="D407" s="17">
        <f t="shared" si="29"/>
        <v>0.49503850935041349</v>
      </c>
      <c r="E407" s="18">
        <f t="shared" si="30"/>
        <v>7.7031917559623118</v>
      </c>
    </row>
    <row r="408" spans="1:5" x14ac:dyDescent="0.35">
      <c r="A408" s="16">
        <v>396</v>
      </c>
      <c r="B408" s="17">
        <f t="shared" si="27"/>
        <v>1.1227000046970046E+16</v>
      </c>
      <c r="C408" s="17">
        <f t="shared" si="28"/>
        <v>116423659</v>
      </c>
      <c r="D408" s="17">
        <f t="shared" si="29"/>
        <v>0.21685596449992048</v>
      </c>
      <c r="E408" s="18">
        <f t="shared" si="30"/>
        <v>2.7557908289082609</v>
      </c>
    </row>
    <row r="409" spans="1:5" x14ac:dyDescent="0.35">
      <c r="A409" s="16">
        <v>397</v>
      </c>
      <c r="B409" s="17">
        <f t="shared" si="27"/>
        <v>4918085939952771</v>
      </c>
      <c r="C409" s="17">
        <f t="shared" si="28"/>
        <v>502842443</v>
      </c>
      <c r="D409" s="17">
        <f t="shared" si="29"/>
        <v>0.9366170407705644</v>
      </c>
      <c r="E409" s="18">
        <f t="shared" si="30"/>
        <v>31.099889915866726</v>
      </c>
    </row>
    <row r="410" spans="1:5" x14ac:dyDescent="0.35">
      <c r="A410" s="16">
        <v>398</v>
      </c>
      <c r="B410" s="17">
        <f t="shared" si="27"/>
        <v>2.1241578883071392E+16</v>
      </c>
      <c r="C410" s="17">
        <f t="shared" si="28"/>
        <v>505869939</v>
      </c>
      <c r="D410" s="17">
        <f t="shared" si="29"/>
        <v>0.94225619153028795</v>
      </c>
      <c r="E410" s="18">
        <f t="shared" si="30"/>
        <v>32.150384982791422</v>
      </c>
    </row>
    <row r="411" spans="1:5" x14ac:dyDescent="0.35">
      <c r="A411" s="16">
        <v>399</v>
      </c>
      <c r="B411" s="17">
        <f t="shared" si="27"/>
        <v>2.1369469429901848E+16</v>
      </c>
      <c r="C411" s="17">
        <f t="shared" si="28"/>
        <v>348636530</v>
      </c>
      <c r="D411" s="17">
        <f t="shared" si="29"/>
        <v>0.64938614386836491</v>
      </c>
      <c r="E411" s="18">
        <f t="shared" si="30"/>
        <v>11.815893867858392</v>
      </c>
    </row>
    <row r="412" spans="1:5" ht="15" thickBot="1" x14ac:dyDescent="0.4">
      <c r="A412" s="19">
        <v>400</v>
      </c>
      <c r="B412" s="20">
        <f t="shared" si="27"/>
        <v>1.4727456803947352E+16</v>
      </c>
      <c r="C412" s="20">
        <f t="shared" si="28"/>
        <v>14751666</v>
      </c>
      <c r="D412" s="20">
        <f t="shared" si="29"/>
        <v>2.747711922033548E-2</v>
      </c>
      <c r="E412" s="21">
        <f t="shared" si="30"/>
        <v>0.31411134128873031</v>
      </c>
    </row>
    <row r="413" spans="1:5" x14ac:dyDescent="0.35">
      <c r="C413" s="1"/>
    </row>
    <row r="414" spans="1:5" x14ac:dyDescent="0.35">
      <c r="C414" s="1"/>
    </row>
  </sheetData>
  <mergeCells count="33">
    <mergeCell ref="J14:K14"/>
    <mergeCell ref="J15:K15"/>
    <mergeCell ref="A1:B1"/>
    <mergeCell ref="D3:F3"/>
    <mergeCell ref="J1:M1"/>
    <mergeCell ref="J3:M3"/>
    <mergeCell ref="G1:I1"/>
    <mergeCell ref="G2:I2"/>
    <mergeCell ref="G10:M10"/>
    <mergeCell ref="G3:I3"/>
    <mergeCell ref="G4:I4"/>
    <mergeCell ref="J21:K21"/>
    <mergeCell ref="J18:K18"/>
    <mergeCell ref="J19:K19"/>
    <mergeCell ref="J20:K20"/>
    <mergeCell ref="J16:K16"/>
    <mergeCell ref="J17:K17"/>
    <mergeCell ref="H14:I14"/>
    <mergeCell ref="H15:I15"/>
    <mergeCell ref="H16:I16"/>
    <mergeCell ref="H17:I17"/>
    <mergeCell ref="H18:I18"/>
    <mergeCell ref="H19:I19"/>
    <mergeCell ref="H11:I11"/>
    <mergeCell ref="J11:K11"/>
    <mergeCell ref="H12:I12"/>
    <mergeCell ref="H13:I13"/>
    <mergeCell ref="J12:K12"/>
    <mergeCell ref="J13:K13"/>
    <mergeCell ref="D1:F1"/>
    <mergeCell ref="D2:F2"/>
    <mergeCell ref="D4:F4"/>
    <mergeCell ref="A10:E1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2026-03-31T14:03:50Z</dcterms:modified>
</cp:coreProperties>
</file>